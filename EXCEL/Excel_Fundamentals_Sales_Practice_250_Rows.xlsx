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rjunaji/Documents/"/>
    </mc:Choice>
  </mc:AlternateContent>
  <xr:revisionPtr revIDLastSave="0" documentId="8_{13429F1F-A459-3840-B6B2-C15BC36EEBB0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Raw_Sales_Data" sheetId="1" r:id="rId1"/>
    <sheet name="SUMMARY" sheetId="3" r:id="rId2"/>
    <sheet name="Product_Master" sheetId="2" r:id="rId3"/>
  </sheets>
  <definedNames>
    <definedName name="_xlnm._FilterDatabase" localSheetId="2" hidden="1">Product_Master!$A$1:$E$9</definedName>
    <definedName name="_xlnm._FilterDatabase" localSheetId="0" hidden="1">Raw_Sales_Data!$A$1:$T$1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1" l="1"/>
  <c r="W20" i="1"/>
  <c r="W21" i="1"/>
  <c r="W22" i="1"/>
  <c r="W23" i="1"/>
  <c r="W24" i="1"/>
  <c r="W25" i="1"/>
  <c r="W18" i="1"/>
  <c r="W10" i="1"/>
  <c r="AB15" i="1"/>
  <c r="W67" i="1"/>
  <c r="W72" i="1"/>
  <c r="W73" i="1"/>
  <c r="W71" i="1"/>
  <c r="W68" i="1"/>
  <c r="W70" i="1"/>
  <c r="W69" i="1"/>
  <c r="W66" i="1"/>
  <c r="X62" i="1"/>
  <c r="X61" i="1" a="1"/>
  <c r="X57" i="1"/>
  <c r="X56" i="1"/>
  <c r="W34" i="1"/>
  <c r="W32" i="1"/>
  <c r="W33" i="1"/>
  <c r="W35" i="1"/>
  <c r="W4" i="1"/>
  <c r="W6" i="1"/>
  <c r="R3" i="1"/>
  <c r="W41" i="1" s="1"/>
  <c r="R4" i="1"/>
  <c r="X21" i="1" s="1"/>
  <c r="R5" i="1"/>
  <c r="X19" i="1" s="1"/>
  <c r="R6" i="1"/>
  <c r="R7" i="1"/>
  <c r="R8" i="1"/>
  <c r="R9" i="1"/>
  <c r="W39" i="1" s="1"/>
  <c r="R10" i="1"/>
  <c r="X25" i="1" s="1"/>
  <c r="R11" i="1"/>
  <c r="R12" i="1"/>
  <c r="R13" i="1"/>
  <c r="X18" i="1" s="1"/>
  <c r="R14" i="1"/>
  <c r="R15" i="1"/>
  <c r="R16" i="1"/>
  <c r="R17" i="1"/>
  <c r="W43" i="1" s="1"/>
  <c r="R18" i="1"/>
  <c r="X23" i="1" s="1"/>
  <c r="R19" i="1"/>
  <c r="R20" i="1"/>
  <c r="R21" i="1"/>
  <c r="X22" i="1" s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X24" i="1" s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" i="1"/>
  <c r="W42" i="1" s="1"/>
  <c r="O167" i="1"/>
  <c r="Q38" i="1"/>
  <c r="Q39" i="1"/>
  <c r="Q94" i="1"/>
  <c r="S94" i="1" s="1"/>
  <c r="Q126" i="1"/>
  <c r="S126" i="1" s="1"/>
  <c r="P111" i="1"/>
  <c r="P127" i="1"/>
  <c r="P129" i="1"/>
  <c r="P183" i="1"/>
  <c r="P239" i="1"/>
  <c r="H3" i="1" a="1"/>
  <c r="H4" i="1" a="1"/>
  <c r="H5" i="1" a="1"/>
  <c r="P5" i="1" s="1"/>
  <c r="H6" i="1" a="1"/>
  <c r="H7" i="1" a="1"/>
  <c r="H8" i="1" a="1"/>
  <c r="H9" i="1" a="1"/>
  <c r="H10" i="1" a="1"/>
  <c r="H11" i="1" a="1"/>
  <c r="H12" i="1" a="1"/>
  <c r="O12" i="1" s="1"/>
  <c r="H13" i="1" a="1"/>
  <c r="H14" i="1" a="1"/>
  <c r="H15" i="1" a="1"/>
  <c r="H16" i="1" a="1"/>
  <c r="H17" i="1" a="1"/>
  <c r="O17" i="1" s="1"/>
  <c r="H18" i="1" a="1"/>
  <c r="H19" i="1" a="1"/>
  <c r="Q19" i="1" s="1"/>
  <c r="H20" i="1" a="1"/>
  <c r="Q20" i="1" s="1"/>
  <c r="H21" i="1" a="1"/>
  <c r="P21" i="1" s="1"/>
  <c r="H22" i="1" a="1"/>
  <c r="H23" i="1" a="1"/>
  <c r="H24" i="1" a="1"/>
  <c r="H25" i="1" a="1"/>
  <c r="H26" i="1" a="1"/>
  <c r="H27" i="1" a="1"/>
  <c r="H28" i="1" a="1"/>
  <c r="H29" i="1" a="1"/>
  <c r="H30" i="1" a="1"/>
  <c r="H31" i="1" a="1"/>
  <c r="H32" i="1" a="1"/>
  <c r="H33" i="1" a="1"/>
  <c r="H34" i="1" a="1"/>
  <c r="H35" i="1" a="1"/>
  <c r="H36" i="1" a="1"/>
  <c r="H37" i="1" a="1"/>
  <c r="P37" i="1" s="1"/>
  <c r="H38" i="1" a="1"/>
  <c r="H39" i="1" a="1"/>
  <c r="H40" i="1" a="1"/>
  <c r="Q40" i="1" s="1"/>
  <c r="S40" i="1" s="1"/>
  <c r="T40" i="1" s="1"/>
  <c r="H41" i="1" a="1"/>
  <c r="H42" i="1" a="1"/>
  <c r="H43" i="1" a="1"/>
  <c r="H44" i="1" a="1"/>
  <c r="H45" i="1" a="1"/>
  <c r="H46" i="1" a="1"/>
  <c r="H47" i="1" a="1"/>
  <c r="H48" i="1" a="1"/>
  <c r="H49" i="1" a="1"/>
  <c r="H50" i="1" a="1"/>
  <c r="H51" i="1" a="1"/>
  <c r="P51" i="1" s="1"/>
  <c r="H52" i="1" a="1"/>
  <c r="P52" i="1" s="1"/>
  <c r="H53" i="1" a="1"/>
  <c r="P53" i="1" s="1"/>
  <c r="H54" i="1" a="1"/>
  <c r="H55" i="1" a="1"/>
  <c r="H56" i="1" a="1"/>
  <c r="H57" i="1" a="1"/>
  <c r="H58" i="1" a="1"/>
  <c r="H59" i="1" a="1"/>
  <c r="H60" i="1" a="1"/>
  <c r="Q60" i="1" s="1"/>
  <c r="H61" i="1" a="1"/>
  <c r="H62" i="1" a="1"/>
  <c r="H63" i="1" a="1"/>
  <c r="H64" i="1" a="1"/>
  <c r="H65" i="1" a="1"/>
  <c r="H66" i="1" a="1"/>
  <c r="H67" i="1" a="1"/>
  <c r="H68" i="1" a="1"/>
  <c r="H69" i="1" a="1"/>
  <c r="H70" i="1" a="1"/>
  <c r="H71" i="1" a="1"/>
  <c r="H72" i="1" a="1"/>
  <c r="P72" i="1" s="1"/>
  <c r="H73" i="1" a="1"/>
  <c r="O73" i="1" s="1"/>
  <c r="H74" i="1" a="1"/>
  <c r="P74" i="1" s="1"/>
  <c r="H75" i="1" a="1"/>
  <c r="P75" i="1" s="1"/>
  <c r="H76" i="1" a="1"/>
  <c r="P76" i="1" s="1"/>
  <c r="H77" i="1" a="1"/>
  <c r="Q77" i="1" s="1"/>
  <c r="H78" i="1" a="1"/>
  <c r="Q78" i="1" s="1"/>
  <c r="S78" i="1" s="1"/>
  <c r="H79" i="1" a="1"/>
  <c r="H80" i="1" a="1"/>
  <c r="H81" i="1" a="1"/>
  <c r="H82" i="1" a="1"/>
  <c r="H83" i="1" a="1"/>
  <c r="Q83" i="1" s="1"/>
  <c r="H84" i="1" a="1"/>
  <c r="Q84" i="1" s="1"/>
  <c r="H85" i="1" a="1"/>
  <c r="H86" i="1" a="1"/>
  <c r="H87" i="1" a="1"/>
  <c r="H88" i="1" a="1"/>
  <c r="H89" i="1" a="1"/>
  <c r="H90" i="1" a="1"/>
  <c r="O90" i="1" s="1"/>
  <c r="H91" i="1" a="1"/>
  <c r="Q91" i="1" s="1"/>
  <c r="H92" i="1" a="1"/>
  <c r="O92" i="1" s="1"/>
  <c r="H93" i="1" a="1"/>
  <c r="O93" i="1" s="1"/>
  <c r="H94" i="1" a="1"/>
  <c r="H95" i="1" a="1"/>
  <c r="H96" i="1" a="1"/>
  <c r="H97" i="1" a="1"/>
  <c r="H98" i="1" a="1"/>
  <c r="H99" i="1" a="1"/>
  <c r="H100" i="1" a="1"/>
  <c r="H101" i="1" a="1"/>
  <c r="P101" i="1" s="1"/>
  <c r="H102" i="1" a="1"/>
  <c r="H103" i="1" a="1"/>
  <c r="P103" i="1" s="1"/>
  <c r="H104" i="1" a="1"/>
  <c r="H105" i="1" a="1"/>
  <c r="H106" i="1" a="1"/>
  <c r="H107" i="1" a="1"/>
  <c r="H108" i="1" a="1"/>
  <c r="O108" i="1" s="1"/>
  <c r="H109" i="1" a="1"/>
  <c r="O109" i="1" s="1"/>
  <c r="H110" i="1" a="1"/>
  <c r="Q110" i="1" s="1"/>
  <c r="S110" i="1" s="1"/>
  <c r="H111" i="1" a="1"/>
  <c r="H112" i="1" a="1"/>
  <c r="P112" i="1" s="1"/>
  <c r="H113" i="1" a="1"/>
  <c r="H114" i="1" a="1"/>
  <c r="H115" i="1" a="1"/>
  <c r="H116" i="1" a="1"/>
  <c r="H117" i="1" a="1"/>
  <c r="H118" i="1" a="1"/>
  <c r="H119" i="1" a="1"/>
  <c r="H120" i="1" a="1"/>
  <c r="H121" i="1" a="1"/>
  <c r="Q121" i="1" s="1"/>
  <c r="S121" i="1" s="1"/>
  <c r="T121" i="1" s="1"/>
  <c r="H122" i="1" a="1"/>
  <c r="H123" i="1" a="1"/>
  <c r="H124" i="1" a="1"/>
  <c r="P124" i="1" s="1"/>
  <c r="H125" i="1" a="1"/>
  <c r="P125" i="1" s="1"/>
  <c r="H126" i="1" a="1"/>
  <c r="H127" i="1" a="1"/>
  <c r="H128" i="1" a="1"/>
  <c r="P128" i="1" s="1"/>
  <c r="H129" i="1" a="1"/>
  <c r="H130" i="1" a="1"/>
  <c r="Q130" i="1" s="1"/>
  <c r="H131" i="1" a="1"/>
  <c r="H132" i="1" a="1"/>
  <c r="H133" i="1" a="1"/>
  <c r="H134" i="1" a="1"/>
  <c r="H135" i="1" a="1"/>
  <c r="H136" i="1" a="1"/>
  <c r="H137" i="1" a="1"/>
  <c r="H138" i="1" a="1"/>
  <c r="O138" i="1" s="1"/>
  <c r="H139" i="1" a="1"/>
  <c r="P139" i="1" s="1"/>
  <c r="H140" i="1" a="1"/>
  <c r="Q140" i="1" s="1"/>
  <c r="H141" i="1" a="1"/>
  <c r="Q141" i="1" s="1"/>
  <c r="H142" i="1" a="1"/>
  <c r="Q142" i="1" s="1"/>
  <c r="S142" i="1" s="1"/>
  <c r="H143" i="1" a="1"/>
  <c r="H144" i="1" a="1"/>
  <c r="H145" i="1" a="1"/>
  <c r="H146" i="1" a="1"/>
  <c r="H147" i="1" a="1"/>
  <c r="P147" i="1" s="1"/>
  <c r="H148" i="1" a="1"/>
  <c r="H149" i="1" a="1"/>
  <c r="H150" i="1" a="1"/>
  <c r="H151" i="1" a="1"/>
  <c r="H152" i="1" a="1"/>
  <c r="H153" i="1" a="1"/>
  <c r="H154" i="1" a="1"/>
  <c r="O154" i="1" s="1"/>
  <c r="H155" i="1" a="1"/>
  <c r="H156" i="1" a="1"/>
  <c r="O156" i="1" s="1"/>
  <c r="H157" i="1" a="1"/>
  <c r="O157" i="1" s="1"/>
  <c r="H158" i="1" a="1"/>
  <c r="Q158" i="1" s="1"/>
  <c r="S158" i="1" s="1"/>
  <c r="H159" i="1" a="1"/>
  <c r="H160" i="1" a="1"/>
  <c r="H161" i="1" a="1"/>
  <c r="H162" i="1" a="1"/>
  <c r="H163" i="1" a="1"/>
  <c r="P163" i="1" s="1"/>
  <c r="H164" i="1" a="1"/>
  <c r="P164" i="1" s="1"/>
  <c r="H165" i="1" a="1"/>
  <c r="P165" i="1" s="1"/>
  <c r="H166" i="1" a="1"/>
  <c r="H167" i="1" a="1"/>
  <c r="Q167" i="1" s="1"/>
  <c r="H168" i="1" a="1"/>
  <c r="H169" i="1" a="1"/>
  <c r="H170" i="1" a="1"/>
  <c r="H171" i="1" a="1"/>
  <c r="H172" i="1" a="1"/>
  <c r="O172" i="1" s="1"/>
  <c r="H173" i="1" a="1"/>
  <c r="O173" i="1" s="1"/>
  <c r="H174" i="1" a="1"/>
  <c r="Q174" i="1" s="1"/>
  <c r="S174" i="1" s="1"/>
  <c r="H175" i="1" a="1"/>
  <c r="H176" i="1" a="1"/>
  <c r="P176" i="1" s="1"/>
  <c r="H177" i="1" a="1"/>
  <c r="H178" i="1" a="1"/>
  <c r="H179" i="1" a="1"/>
  <c r="H180" i="1" a="1"/>
  <c r="H181" i="1" a="1"/>
  <c r="P181" i="1" s="1"/>
  <c r="H182" i="1" a="1"/>
  <c r="H183" i="1" a="1"/>
  <c r="H184" i="1" a="1"/>
  <c r="P184" i="1" s="1"/>
  <c r="H185" i="1" a="1"/>
  <c r="P185" i="1" s="1"/>
  <c r="H186" i="1" a="1"/>
  <c r="H187" i="1" a="1"/>
  <c r="H188" i="1" a="1"/>
  <c r="H189" i="1" a="1"/>
  <c r="Q189" i="1" s="1"/>
  <c r="H190" i="1" a="1"/>
  <c r="Q190" i="1" s="1"/>
  <c r="S190" i="1" s="1"/>
  <c r="H191" i="1" a="1"/>
  <c r="H192" i="1" a="1"/>
  <c r="Q192" i="1" s="1"/>
  <c r="S192" i="1" s="1"/>
  <c r="T192" i="1" s="1"/>
  <c r="H193" i="1" a="1"/>
  <c r="H194" i="1" a="1"/>
  <c r="H195" i="1" a="1"/>
  <c r="O195" i="1" s="1"/>
  <c r="H196" i="1" a="1"/>
  <c r="O196" i="1" s="1"/>
  <c r="H197" i="1" a="1"/>
  <c r="H198" i="1" a="1"/>
  <c r="H199" i="1" a="1"/>
  <c r="H200" i="1" a="1"/>
  <c r="Q200" i="1" s="1"/>
  <c r="S200" i="1" s="1"/>
  <c r="T200" i="1" s="1"/>
  <c r="H201" i="1" a="1"/>
  <c r="P201" i="1" s="1"/>
  <c r="H202" i="1" a="1"/>
  <c r="O202" i="1" s="1"/>
  <c r="H203" i="1" a="1"/>
  <c r="P203" i="1" s="1"/>
  <c r="H204" i="1" a="1"/>
  <c r="Q204" i="1" s="1"/>
  <c r="H205" i="1" a="1"/>
  <c r="Q205" i="1" s="1"/>
  <c r="H206" i="1" a="1"/>
  <c r="Q206" i="1" s="1"/>
  <c r="S206" i="1" s="1"/>
  <c r="H207" i="1" a="1"/>
  <c r="H208" i="1" a="1"/>
  <c r="H209" i="1" a="1"/>
  <c r="H210" i="1" a="1"/>
  <c r="H211" i="1" a="1"/>
  <c r="H212" i="1" a="1"/>
  <c r="P212" i="1" s="1"/>
  <c r="H213" i="1" a="1"/>
  <c r="H214" i="1" a="1"/>
  <c r="H215" i="1" a="1"/>
  <c r="H216" i="1" a="1"/>
  <c r="H217" i="1" a="1"/>
  <c r="H218" i="1" a="1"/>
  <c r="O218" i="1" s="1"/>
  <c r="H219" i="1" a="1"/>
  <c r="Q219" i="1" s="1"/>
  <c r="H220" i="1" a="1"/>
  <c r="O220" i="1" s="1"/>
  <c r="H221" i="1" a="1"/>
  <c r="O221" i="1" s="1"/>
  <c r="H222" i="1" a="1"/>
  <c r="Q222" i="1" s="1"/>
  <c r="S222" i="1" s="1"/>
  <c r="H223" i="1" a="1"/>
  <c r="H224" i="1" a="1"/>
  <c r="H225" i="1" a="1"/>
  <c r="H226" i="1" a="1"/>
  <c r="H227" i="1" a="1"/>
  <c r="H228" i="1" a="1"/>
  <c r="H229" i="1" a="1"/>
  <c r="P229" i="1" s="1"/>
  <c r="H230" i="1" a="1"/>
  <c r="H231" i="1" a="1"/>
  <c r="P231" i="1" s="1"/>
  <c r="H232" i="1" a="1"/>
  <c r="H233" i="1" a="1"/>
  <c r="H234" i="1" a="1"/>
  <c r="H235" i="1" a="1"/>
  <c r="H236" i="1" a="1"/>
  <c r="O236" i="1" s="1"/>
  <c r="H237" i="1" a="1"/>
  <c r="O237" i="1" s="1"/>
  <c r="H238" i="1" a="1"/>
  <c r="Q238" i="1" s="1"/>
  <c r="S238" i="1" s="1"/>
  <c r="H239" i="1" a="1"/>
  <c r="H240" i="1" a="1"/>
  <c r="H241" i="1" a="1"/>
  <c r="H242" i="1" a="1"/>
  <c r="H243" i="1" a="1"/>
  <c r="H244" i="1" a="1"/>
  <c r="H245" i="1" a="1"/>
  <c r="Q245" i="1" s="1"/>
  <c r="H246" i="1" a="1"/>
  <c r="H247" i="1" a="1"/>
  <c r="H248" i="1" a="1"/>
  <c r="Q248" i="1" s="1"/>
  <c r="S248" i="1" s="1"/>
  <c r="T248" i="1" s="1"/>
  <c r="H249" i="1" a="1"/>
  <c r="Q249" i="1" s="1"/>
  <c r="S249" i="1" s="1"/>
  <c r="T249" i="1" s="1"/>
  <c r="H250" i="1" a="1"/>
  <c r="H251" i="1" a="1"/>
  <c r="P251" i="1" s="1"/>
  <c r="H2" i="1" a="1"/>
  <c r="D2" i="1" a="1"/>
  <c r="D3" i="1" a="1"/>
  <c r="D4" i="1" a="1"/>
  <c r="D5" i="1" a="1"/>
  <c r="D6" i="1" a="1"/>
  <c r="D7" i="1" a="1"/>
  <c r="D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39" i="1" a="1"/>
  <c r="D40" i="1" a="1"/>
  <c r="D41" i="1" a="1"/>
  <c r="D42" i="1" a="1"/>
  <c r="D43" i="1" a="1"/>
  <c r="D44" i="1" a="1"/>
  <c r="D45" i="1" a="1"/>
  <c r="D46" i="1" a="1"/>
  <c r="D47" i="1" a="1"/>
  <c r="D48" i="1" a="1"/>
  <c r="D49" i="1" a="1"/>
  <c r="D50" i="1" a="1"/>
  <c r="D51" i="1" a="1"/>
  <c r="D52" i="1" a="1"/>
  <c r="D53" i="1" a="1"/>
  <c r="D54" i="1" a="1"/>
  <c r="D55" i="1" a="1"/>
  <c r="D56" i="1" a="1"/>
  <c r="D57" i="1" a="1"/>
  <c r="D58" i="1" a="1"/>
  <c r="D59" i="1" a="1"/>
  <c r="D60" i="1" a="1"/>
  <c r="D61" i="1" a="1"/>
  <c r="D62" i="1" a="1"/>
  <c r="D63" i="1" a="1"/>
  <c r="D64" i="1" a="1"/>
  <c r="D65" i="1" a="1"/>
  <c r="D66" i="1" a="1"/>
  <c r="D67" i="1" a="1"/>
  <c r="D68" i="1" a="1"/>
  <c r="D69" i="1" a="1"/>
  <c r="D70" i="1" a="1"/>
  <c r="D71" i="1" a="1"/>
  <c r="D72" i="1" a="1"/>
  <c r="D73" i="1" a="1"/>
  <c r="D74" i="1" a="1"/>
  <c r="D75" i="1" a="1"/>
  <c r="D76" i="1" a="1"/>
  <c r="D77" i="1" a="1"/>
  <c r="D78" i="1" a="1"/>
  <c r="D79" i="1" a="1"/>
  <c r="D80" i="1" a="1"/>
  <c r="D81" i="1" a="1"/>
  <c r="D82" i="1" a="1"/>
  <c r="D83" i="1" a="1"/>
  <c r="D84" i="1" a="1"/>
  <c r="D85" i="1" a="1"/>
  <c r="D86" i="1" a="1"/>
  <c r="D87" i="1" a="1"/>
  <c r="D88" i="1" a="1"/>
  <c r="D89" i="1" a="1"/>
  <c r="D90" i="1" a="1"/>
  <c r="D91" i="1" a="1"/>
  <c r="D92" i="1" a="1"/>
  <c r="D93" i="1" a="1"/>
  <c r="D94" i="1" a="1"/>
  <c r="D95" i="1" a="1"/>
  <c r="D96" i="1" a="1"/>
  <c r="D97" i="1" a="1"/>
  <c r="D98" i="1" a="1"/>
  <c r="D99" i="1" a="1"/>
  <c r="D100" i="1" a="1"/>
  <c r="D101" i="1" a="1"/>
  <c r="D102" i="1" a="1"/>
  <c r="D103" i="1" a="1"/>
  <c r="D104" i="1" a="1"/>
  <c r="D105" i="1" a="1"/>
  <c r="D106" i="1" a="1"/>
  <c r="D107" i="1" a="1"/>
  <c r="D108" i="1" a="1"/>
  <c r="D109" i="1" a="1"/>
  <c r="D110" i="1" a="1"/>
  <c r="D111" i="1" a="1"/>
  <c r="D112" i="1" a="1"/>
  <c r="D113" i="1" a="1"/>
  <c r="D114" i="1" a="1"/>
  <c r="D115" i="1" a="1"/>
  <c r="D116" i="1" a="1"/>
  <c r="D117" i="1" a="1"/>
  <c r="D118" i="1" a="1"/>
  <c r="D119" i="1" a="1"/>
  <c r="D120" i="1" a="1"/>
  <c r="D121" i="1" a="1"/>
  <c r="D122" i="1" a="1"/>
  <c r="D123" i="1" a="1"/>
  <c r="D124" i="1" a="1"/>
  <c r="D125" i="1" a="1"/>
  <c r="D126" i="1" a="1"/>
  <c r="D127" i="1" a="1"/>
  <c r="D128" i="1" a="1"/>
  <c r="D129" i="1" a="1"/>
  <c r="D130" i="1" a="1"/>
  <c r="D131" i="1" a="1"/>
  <c r="D132" i="1" a="1"/>
  <c r="D133" i="1" a="1"/>
  <c r="D134" i="1" a="1"/>
  <c r="D135" i="1" a="1"/>
  <c r="D136" i="1" a="1"/>
  <c r="D137" i="1" a="1"/>
  <c r="D138" i="1" a="1"/>
  <c r="D139" i="1" a="1"/>
  <c r="D140" i="1" a="1"/>
  <c r="D141" i="1" a="1"/>
  <c r="D142" i="1" a="1"/>
  <c r="D143" i="1" a="1"/>
  <c r="D144" i="1" a="1"/>
  <c r="D145" i="1" a="1"/>
  <c r="D146" i="1" a="1"/>
  <c r="D147" i="1" a="1"/>
  <c r="D148" i="1" a="1"/>
  <c r="D149" i="1" a="1"/>
  <c r="D150" i="1" a="1"/>
  <c r="D151" i="1" a="1"/>
  <c r="D152" i="1" a="1"/>
  <c r="D153" i="1" a="1"/>
  <c r="D154" i="1" a="1"/>
  <c r="D155" i="1" a="1"/>
  <c r="D156" i="1" a="1"/>
  <c r="D157" i="1" a="1"/>
  <c r="D158" i="1" a="1"/>
  <c r="D159" i="1" a="1"/>
  <c r="D160" i="1" a="1"/>
  <c r="D161" i="1" a="1"/>
  <c r="D162" i="1" a="1"/>
  <c r="D163" i="1" a="1"/>
  <c r="D164" i="1" a="1"/>
  <c r="D165" i="1" a="1"/>
  <c r="D166" i="1" a="1"/>
  <c r="D167" i="1" a="1"/>
  <c r="D168" i="1" a="1"/>
  <c r="D169" i="1" a="1"/>
  <c r="D170" i="1" a="1"/>
  <c r="D171" i="1" a="1"/>
  <c r="D172" i="1" a="1"/>
  <c r="D173" i="1" a="1"/>
  <c r="D174" i="1" a="1"/>
  <c r="D175" i="1" a="1"/>
  <c r="D176" i="1" a="1"/>
  <c r="D177" i="1" a="1"/>
  <c r="D178" i="1" a="1"/>
  <c r="D179" i="1" a="1"/>
  <c r="D180" i="1" a="1"/>
  <c r="D181" i="1" a="1"/>
  <c r="D182" i="1" a="1"/>
  <c r="D183" i="1" a="1"/>
  <c r="D184" i="1" a="1"/>
  <c r="D185" i="1" a="1"/>
  <c r="D186" i="1" a="1"/>
  <c r="D187" i="1" a="1"/>
  <c r="D188" i="1" a="1"/>
  <c r="D189" i="1" a="1"/>
  <c r="D190" i="1" a="1"/>
  <c r="D191" i="1" a="1"/>
  <c r="D192" i="1" a="1"/>
  <c r="D193" i="1" a="1"/>
  <c r="D194" i="1" a="1"/>
  <c r="D195" i="1" a="1"/>
  <c r="D196" i="1" a="1"/>
  <c r="D197" i="1" a="1"/>
  <c r="D198" i="1" a="1"/>
  <c r="D199" i="1" a="1"/>
  <c r="D200" i="1" a="1"/>
  <c r="D201" i="1" a="1"/>
  <c r="D202" i="1" a="1"/>
  <c r="D203" i="1" a="1"/>
  <c r="D204" i="1" a="1"/>
  <c r="D205" i="1" a="1"/>
  <c r="D206" i="1" a="1"/>
  <c r="D207" i="1" a="1"/>
  <c r="D208" i="1" a="1"/>
  <c r="D209" i="1" a="1"/>
  <c r="D210" i="1" a="1"/>
  <c r="D211" i="1" a="1"/>
  <c r="D212" i="1" a="1"/>
  <c r="D213" i="1" a="1"/>
  <c r="D214" i="1" a="1"/>
  <c r="D215" i="1" a="1"/>
  <c r="D216" i="1" a="1"/>
  <c r="D217" i="1" a="1"/>
  <c r="D218" i="1" a="1"/>
  <c r="D219" i="1" a="1"/>
  <c r="D220" i="1" a="1"/>
  <c r="D221" i="1" a="1"/>
  <c r="D222" i="1" a="1"/>
  <c r="D223" i="1" a="1"/>
  <c r="D224" i="1" a="1"/>
  <c r="D225" i="1" a="1"/>
  <c r="D226" i="1" a="1"/>
  <c r="D227" i="1" a="1"/>
  <c r="D228" i="1" a="1"/>
  <c r="D229" i="1" a="1"/>
  <c r="D230" i="1" a="1"/>
  <c r="D231" i="1" a="1"/>
  <c r="D232" i="1" a="1"/>
  <c r="D233" i="1" a="1"/>
  <c r="D234" i="1" a="1"/>
  <c r="D235" i="1" a="1"/>
  <c r="D236" i="1" a="1"/>
  <c r="D237" i="1" a="1"/>
  <c r="D238" i="1" a="1"/>
  <c r="D239" i="1" a="1"/>
  <c r="D240" i="1" a="1"/>
  <c r="D241" i="1" a="1"/>
  <c r="D242" i="1" a="1"/>
  <c r="D243" i="1" a="1"/>
  <c r="D244" i="1" a="1"/>
  <c r="D245" i="1" a="1"/>
  <c r="D246" i="1" a="1"/>
  <c r="D247" i="1" a="1"/>
  <c r="D248" i="1" a="1"/>
  <c r="D249" i="1" a="1"/>
  <c r="D250" i="1" a="1"/>
  <c r="D251" i="1" a="1"/>
  <c r="P220" i="1" l="1"/>
  <c r="P157" i="1"/>
  <c r="P84" i="1"/>
  <c r="P202" i="1"/>
  <c r="Q109" i="1"/>
  <c r="O248" i="1"/>
  <c r="W40" i="1"/>
  <c r="Q108" i="1"/>
  <c r="W8" i="1"/>
  <c r="P109" i="1"/>
  <c r="P20" i="1"/>
  <c r="Q173" i="1"/>
  <c r="X58" i="1"/>
  <c r="P237" i="1"/>
  <c r="P108" i="1"/>
  <c r="Q172" i="1"/>
  <c r="O125" i="1"/>
  <c r="X59" i="1"/>
  <c r="P236" i="1"/>
  <c r="Q237" i="1"/>
  <c r="Q76" i="1"/>
  <c r="O124" i="1"/>
  <c r="S167" i="1"/>
  <c r="X20" i="1"/>
  <c r="P92" i="1"/>
  <c r="Q236" i="1"/>
  <c r="O20" i="1"/>
  <c r="O171" i="1"/>
  <c r="Q171" i="1"/>
  <c r="P171" i="1"/>
  <c r="Q27" i="1"/>
  <c r="O27" i="1"/>
  <c r="P27" i="1"/>
  <c r="O240" i="1"/>
  <c r="Q240" i="1"/>
  <c r="S240" i="1" s="1"/>
  <c r="T240" i="1" s="1"/>
  <c r="O2" i="1"/>
  <c r="Q2" i="1"/>
  <c r="P2" i="1"/>
  <c r="O244" i="1"/>
  <c r="Q244" i="1"/>
  <c r="P244" i="1"/>
  <c r="O228" i="1"/>
  <c r="Q228" i="1"/>
  <c r="S228" i="1" s="1"/>
  <c r="T228" i="1" s="1"/>
  <c r="Q212" i="1"/>
  <c r="O212" i="1"/>
  <c r="O204" i="1"/>
  <c r="P204" i="1"/>
  <c r="Q196" i="1"/>
  <c r="P196" i="1"/>
  <c r="O188" i="1"/>
  <c r="P188" i="1"/>
  <c r="Q180" i="1"/>
  <c r="O180" i="1"/>
  <c r="P180" i="1"/>
  <c r="O164" i="1"/>
  <c r="Q164" i="1"/>
  <c r="Q148" i="1"/>
  <c r="O148" i="1"/>
  <c r="O140" i="1"/>
  <c r="P140" i="1"/>
  <c r="O132" i="1"/>
  <c r="Q132" i="1"/>
  <c r="P132" i="1"/>
  <c r="O116" i="1"/>
  <c r="Q116" i="1"/>
  <c r="P116" i="1"/>
  <c r="O100" i="1"/>
  <c r="Q100" i="1"/>
  <c r="O68" i="1"/>
  <c r="P68" i="1"/>
  <c r="Q68" i="1"/>
  <c r="O60" i="1"/>
  <c r="P60" i="1"/>
  <c r="Q52" i="1"/>
  <c r="O52" i="1"/>
  <c r="Q44" i="1"/>
  <c r="P44" i="1"/>
  <c r="O44" i="1"/>
  <c r="Q36" i="1"/>
  <c r="O36" i="1"/>
  <c r="Q28" i="1"/>
  <c r="P28" i="1"/>
  <c r="Q12" i="1"/>
  <c r="S12" i="1" s="1"/>
  <c r="T12" i="1" s="1"/>
  <c r="P12" i="1"/>
  <c r="Q4" i="1"/>
  <c r="O4" i="1"/>
  <c r="P240" i="1"/>
  <c r="P221" i="1"/>
  <c r="P167" i="1"/>
  <c r="P148" i="1"/>
  <c r="P130" i="1"/>
  <c r="P93" i="1"/>
  <c r="O249" i="1"/>
  <c r="O200" i="1"/>
  <c r="O130" i="1"/>
  <c r="O28" i="1"/>
  <c r="Q235" i="1"/>
  <c r="O235" i="1"/>
  <c r="P235" i="1"/>
  <c r="O187" i="1"/>
  <c r="Q187" i="1"/>
  <c r="P187" i="1"/>
  <c r="O155" i="1"/>
  <c r="Q155" i="1"/>
  <c r="O123" i="1"/>
  <c r="Q123" i="1"/>
  <c r="P123" i="1"/>
  <c r="Q75" i="1"/>
  <c r="O75" i="1"/>
  <c r="Q35" i="1"/>
  <c r="O35" i="1"/>
  <c r="O250" i="1"/>
  <c r="P250" i="1"/>
  <c r="O242" i="1"/>
  <c r="Q242" i="1"/>
  <c r="O234" i="1"/>
  <c r="P234" i="1"/>
  <c r="P226" i="1"/>
  <c r="Q226" i="1"/>
  <c r="O210" i="1"/>
  <c r="Q210" i="1"/>
  <c r="O194" i="1"/>
  <c r="Q194" i="1"/>
  <c r="O186" i="1"/>
  <c r="P186" i="1"/>
  <c r="O178" i="1"/>
  <c r="P178" i="1"/>
  <c r="Q178" i="1"/>
  <c r="O170" i="1"/>
  <c r="P170" i="1"/>
  <c r="P162" i="1"/>
  <c r="Q162" i="1"/>
  <c r="O146" i="1"/>
  <c r="Q146" i="1"/>
  <c r="O122" i="1"/>
  <c r="P122" i="1"/>
  <c r="O114" i="1"/>
  <c r="P114" i="1"/>
  <c r="Q114" i="1"/>
  <c r="O106" i="1"/>
  <c r="P106" i="1"/>
  <c r="O98" i="1"/>
  <c r="P98" i="1"/>
  <c r="Q98" i="1"/>
  <c r="O82" i="1"/>
  <c r="Q82" i="1"/>
  <c r="O74" i="1"/>
  <c r="Q74" i="1"/>
  <c r="O66" i="1"/>
  <c r="Q66" i="1"/>
  <c r="O58" i="1"/>
  <c r="P58" i="1"/>
  <c r="O50" i="1"/>
  <c r="P50" i="1"/>
  <c r="Q50" i="1"/>
  <c r="O42" i="1"/>
  <c r="Q42" i="1"/>
  <c r="S42" i="1" s="1"/>
  <c r="T42" i="1" s="1"/>
  <c r="P42" i="1"/>
  <c r="O34" i="1"/>
  <c r="P34" i="1"/>
  <c r="O26" i="1"/>
  <c r="P26" i="1"/>
  <c r="Q26" i="1"/>
  <c r="O18" i="1"/>
  <c r="P18" i="1"/>
  <c r="O10" i="1"/>
  <c r="Q10" i="1"/>
  <c r="P10" i="1"/>
  <c r="P219" i="1"/>
  <c r="P146" i="1"/>
  <c r="P91" i="1"/>
  <c r="P73" i="1"/>
  <c r="P19" i="1"/>
  <c r="O245" i="1"/>
  <c r="O19" i="1"/>
  <c r="Q243" i="1"/>
  <c r="P243" i="1"/>
  <c r="O203" i="1"/>
  <c r="Q203" i="1"/>
  <c r="O147" i="1"/>
  <c r="Q147" i="1"/>
  <c r="S147" i="1" s="1"/>
  <c r="T147" i="1" s="1"/>
  <c r="O115" i="1"/>
  <c r="Q115" i="1"/>
  <c r="P115" i="1"/>
  <c r="Q67" i="1"/>
  <c r="O67" i="1"/>
  <c r="P67" i="1"/>
  <c r="Q3" i="1"/>
  <c r="O3" i="1"/>
  <c r="O241" i="1"/>
  <c r="Q241" i="1"/>
  <c r="S241" i="1" s="1"/>
  <c r="T241" i="1" s="1"/>
  <c r="P241" i="1"/>
  <c r="Q233" i="1"/>
  <c r="S233" i="1" s="1"/>
  <c r="T233" i="1" s="1"/>
  <c r="P233" i="1"/>
  <c r="O233" i="1"/>
  <c r="Q225" i="1"/>
  <c r="S225" i="1" s="1"/>
  <c r="T225" i="1" s="1"/>
  <c r="P225" i="1"/>
  <c r="O217" i="1"/>
  <c r="Q217" i="1"/>
  <c r="S217" i="1" s="1"/>
  <c r="T217" i="1" s="1"/>
  <c r="P217" i="1"/>
  <c r="Q209" i="1"/>
  <c r="S209" i="1" s="1"/>
  <c r="T209" i="1" s="1"/>
  <c r="O209" i="1"/>
  <c r="O201" i="1"/>
  <c r="Q201" i="1"/>
  <c r="S201" i="1" s="1"/>
  <c r="T201" i="1" s="1"/>
  <c r="Q193" i="1"/>
  <c r="S193" i="1" s="1"/>
  <c r="T193" i="1" s="1"/>
  <c r="O193" i="1"/>
  <c r="O185" i="1"/>
  <c r="Q185" i="1"/>
  <c r="S185" i="1" s="1"/>
  <c r="T185" i="1" s="1"/>
  <c r="Q177" i="1"/>
  <c r="S177" i="1" s="1"/>
  <c r="T177" i="1" s="1"/>
  <c r="O177" i="1"/>
  <c r="P177" i="1"/>
  <c r="O169" i="1"/>
  <c r="Q169" i="1"/>
  <c r="S169" i="1" s="1"/>
  <c r="T169" i="1" s="1"/>
  <c r="P169" i="1"/>
  <c r="Q161" i="1"/>
  <c r="S161" i="1" s="1"/>
  <c r="T161" i="1" s="1"/>
  <c r="P161" i="1"/>
  <c r="O153" i="1"/>
  <c r="Q153" i="1"/>
  <c r="S153" i="1" s="1"/>
  <c r="T153" i="1" s="1"/>
  <c r="P153" i="1"/>
  <c r="O145" i="1"/>
  <c r="Q145" i="1"/>
  <c r="S145" i="1" s="1"/>
  <c r="T145" i="1" s="1"/>
  <c r="O137" i="1"/>
  <c r="Q137" i="1"/>
  <c r="S137" i="1" s="1"/>
  <c r="T137" i="1" s="1"/>
  <c r="O129" i="1"/>
  <c r="Q129" i="1"/>
  <c r="S129" i="1" s="1"/>
  <c r="T129" i="1" s="1"/>
  <c r="O113" i="1"/>
  <c r="Q113" i="1"/>
  <c r="S113" i="1" s="1"/>
  <c r="T113" i="1" s="1"/>
  <c r="P113" i="1"/>
  <c r="O105" i="1"/>
  <c r="Q105" i="1"/>
  <c r="S105" i="1" s="1"/>
  <c r="T105" i="1" s="1"/>
  <c r="P105" i="1"/>
  <c r="O97" i="1"/>
  <c r="Q97" i="1"/>
  <c r="S97" i="1" s="1"/>
  <c r="T97" i="1" s="1"/>
  <c r="P97" i="1"/>
  <c r="O89" i="1"/>
  <c r="Q89" i="1"/>
  <c r="S89" i="1" s="1"/>
  <c r="T89" i="1" s="1"/>
  <c r="P89" i="1"/>
  <c r="O81" i="1"/>
  <c r="Q81" i="1"/>
  <c r="S81" i="1" s="1"/>
  <c r="T81" i="1" s="1"/>
  <c r="O65" i="1"/>
  <c r="Q65" i="1"/>
  <c r="S65" i="1" s="1"/>
  <c r="T65" i="1" s="1"/>
  <c r="O57" i="1"/>
  <c r="P57" i="1"/>
  <c r="O49" i="1"/>
  <c r="Q49" i="1"/>
  <c r="S49" i="1" s="1"/>
  <c r="T49" i="1" s="1"/>
  <c r="O41" i="1"/>
  <c r="Q41" i="1"/>
  <c r="S41" i="1" s="1"/>
  <c r="T41" i="1" s="1"/>
  <c r="P41" i="1"/>
  <c r="O33" i="1"/>
  <c r="Q33" i="1"/>
  <c r="S33" i="1" s="1"/>
  <c r="T33" i="1" s="1"/>
  <c r="O25" i="1"/>
  <c r="Q25" i="1"/>
  <c r="S25" i="1" s="1"/>
  <c r="T25" i="1" s="1"/>
  <c r="P25" i="1"/>
  <c r="O9" i="1"/>
  <c r="Q9" i="1"/>
  <c r="S9" i="1" s="1"/>
  <c r="T9" i="1" s="1"/>
  <c r="P9" i="1"/>
  <c r="P249" i="1"/>
  <c r="P218" i="1"/>
  <c r="P200" i="1"/>
  <c r="P145" i="1"/>
  <c r="P90" i="1"/>
  <c r="P49" i="1"/>
  <c r="P17" i="1"/>
  <c r="Q234" i="1"/>
  <c r="Q202" i="1"/>
  <c r="Q170" i="1"/>
  <c r="Q138" i="1"/>
  <c r="Q106" i="1"/>
  <c r="Q73" i="1"/>
  <c r="S73" i="1" s="1"/>
  <c r="T73" i="1" s="1"/>
  <c r="Q34" i="1"/>
  <c r="O243" i="1"/>
  <c r="O192" i="1"/>
  <c r="O121" i="1"/>
  <c r="Q211" i="1"/>
  <c r="O211" i="1"/>
  <c r="O163" i="1"/>
  <c r="Q163" i="1"/>
  <c r="Q107" i="1"/>
  <c r="O107" i="1"/>
  <c r="P107" i="1"/>
  <c r="Q59" i="1"/>
  <c r="S59" i="1" s="1"/>
  <c r="T59" i="1" s="1"/>
  <c r="O59" i="1"/>
  <c r="P59" i="1"/>
  <c r="Q11" i="1"/>
  <c r="S11" i="1" s="1"/>
  <c r="T11" i="1" s="1"/>
  <c r="O11" i="1"/>
  <c r="P11" i="1"/>
  <c r="S111" i="1"/>
  <c r="T111" i="1" s="1"/>
  <c r="S39" i="1"/>
  <c r="O160" i="1"/>
  <c r="Q160" i="1"/>
  <c r="S160" i="1" s="1"/>
  <c r="T160" i="1" s="1"/>
  <c r="P160" i="1"/>
  <c r="O136" i="1"/>
  <c r="Q136" i="1"/>
  <c r="S136" i="1" s="1"/>
  <c r="T136" i="1" s="1"/>
  <c r="O120" i="1"/>
  <c r="Q120" i="1"/>
  <c r="S120" i="1" s="1"/>
  <c r="T120" i="1" s="1"/>
  <c r="Q112" i="1"/>
  <c r="S112" i="1" s="1"/>
  <c r="T112" i="1" s="1"/>
  <c r="O112" i="1"/>
  <c r="Q104" i="1"/>
  <c r="S104" i="1" s="1"/>
  <c r="T104" i="1" s="1"/>
  <c r="O104" i="1"/>
  <c r="P104" i="1"/>
  <c r="O96" i="1"/>
  <c r="Q96" i="1"/>
  <c r="S96" i="1" s="1"/>
  <c r="T96" i="1" s="1"/>
  <c r="P96" i="1"/>
  <c r="O88" i="1"/>
  <c r="Q88" i="1"/>
  <c r="S88" i="1" s="1"/>
  <c r="T88" i="1" s="1"/>
  <c r="P88" i="1"/>
  <c r="O80" i="1"/>
  <c r="Q80" i="1"/>
  <c r="S80" i="1" s="1"/>
  <c r="T80" i="1" s="1"/>
  <c r="P80" i="1"/>
  <c r="O72" i="1"/>
  <c r="Q72" i="1"/>
  <c r="S72" i="1" s="1"/>
  <c r="T72" i="1" s="1"/>
  <c r="O64" i="1"/>
  <c r="Q64" i="1"/>
  <c r="S64" i="1" s="1"/>
  <c r="T64" i="1" s="1"/>
  <c r="O56" i="1"/>
  <c r="Q56" i="1"/>
  <c r="S56" i="1" s="1"/>
  <c r="T56" i="1" s="1"/>
  <c r="P56" i="1"/>
  <c r="O48" i="1"/>
  <c r="P48" i="1"/>
  <c r="Q48" i="1"/>
  <c r="S48" i="1" s="1"/>
  <c r="T48" i="1" s="1"/>
  <c r="O40" i="1"/>
  <c r="P40" i="1"/>
  <c r="O32" i="1"/>
  <c r="Q32" i="1"/>
  <c r="S32" i="1" s="1"/>
  <c r="T32" i="1" s="1"/>
  <c r="P32" i="1"/>
  <c r="O24" i="1"/>
  <c r="P24" i="1"/>
  <c r="Q24" i="1"/>
  <c r="S24" i="1" s="1"/>
  <c r="T24" i="1" s="1"/>
  <c r="O16" i="1"/>
  <c r="P16" i="1"/>
  <c r="O8" i="1"/>
  <c r="P8" i="1"/>
  <c r="Q8" i="1"/>
  <c r="S8" i="1" s="1"/>
  <c r="T8" i="1" s="1"/>
  <c r="P248" i="1"/>
  <c r="P194" i="1"/>
  <c r="P121" i="1"/>
  <c r="P66" i="1"/>
  <c r="Q18" i="1"/>
  <c r="O226" i="1"/>
  <c r="O91" i="1"/>
  <c r="O251" i="1"/>
  <c r="Q251" i="1"/>
  <c r="Q195" i="1"/>
  <c r="P195" i="1"/>
  <c r="O131" i="1"/>
  <c r="Q131" i="1"/>
  <c r="P131" i="1"/>
  <c r="O99" i="1"/>
  <c r="Q99" i="1"/>
  <c r="Q51" i="1"/>
  <c r="O51" i="1"/>
  <c r="Q176" i="1"/>
  <c r="S176" i="1" s="1"/>
  <c r="T176" i="1" s="1"/>
  <c r="O176" i="1"/>
  <c r="Q144" i="1"/>
  <c r="S144" i="1" s="1"/>
  <c r="T144" i="1" s="1"/>
  <c r="O144" i="1"/>
  <c r="P144" i="1"/>
  <c r="O247" i="1"/>
  <c r="Q247" i="1"/>
  <c r="S247" i="1" s="1"/>
  <c r="T247" i="1" s="1"/>
  <c r="O239" i="1"/>
  <c r="Q239" i="1"/>
  <c r="S239" i="1" s="1"/>
  <c r="T239" i="1" s="1"/>
  <c r="O231" i="1"/>
  <c r="Q231" i="1"/>
  <c r="S231" i="1" s="1"/>
  <c r="T231" i="1" s="1"/>
  <c r="O223" i="1"/>
  <c r="Q223" i="1"/>
  <c r="S223" i="1" s="1"/>
  <c r="T223" i="1" s="1"/>
  <c r="P223" i="1"/>
  <c r="O215" i="1"/>
  <c r="Q215" i="1"/>
  <c r="S215" i="1" s="1"/>
  <c r="T215" i="1" s="1"/>
  <c r="P215" i="1"/>
  <c r="O207" i="1"/>
  <c r="Q207" i="1"/>
  <c r="S207" i="1" s="1"/>
  <c r="T207" i="1" s="1"/>
  <c r="P207" i="1"/>
  <c r="O199" i="1"/>
  <c r="Q199" i="1"/>
  <c r="S199" i="1" s="1"/>
  <c r="T199" i="1" s="1"/>
  <c r="P199" i="1"/>
  <c r="O191" i="1"/>
  <c r="Q191" i="1"/>
  <c r="S191" i="1" s="1"/>
  <c r="T191" i="1" s="1"/>
  <c r="O183" i="1"/>
  <c r="Q183" i="1"/>
  <c r="S183" i="1" s="1"/>
  <c r="T183" i="1" s="1"/>
  <c r="O175" i="1"/>
  <c r="Q175" i="1"/>
  <c r="S175" i="1" s="1"/>
  <c r="T175" i="1" s="1"/>
  <c r="Q159" i="1"/>
  <c r="S159" i="1" s="1"/>
  <c r="T159" i="1" s="1"/>
  <c r="O159" i="1"/>
  <c r="P159" i="1"/>
  <c r="O151" i="1"/>
  <c r="Q151" i="1"/>
  <c r="S151" i="1" s="1"/>
  <c r="T151" i="1" s="1"/>
  <c r="P151" i="1"/>
  <c r="Q143" i="1"/>
  <c r="S143" i="1" s="1"/>
  <c r="T143" i="1" s="1"/>
  <c r="O143" i="1"/>
  <c r="P143" i="1"/>
  <c r="Q135" i="1"/>
  <c r="S135" i="1" s="1"/>
  <c r="T135" i="1" s="1"/>
  <c r="O135" i="1"/>
  <c r="P135" i="1"/>
  <c r="O127" i="1"/>
  <c r="Q127" i="1"/>
  <c r="S127" i="1" s="1"/>
  <c r="T127" i="1" s="1"/>
  <c r="O119" i="1"/>
  <c r="Q119" i="1"/>
  <c r="S119" i="1" s="1"/>
  <c r="T119" i="1" s="1"/>
  <c r="O111" i="1"/>
  <c r="Q111" i="1"/>
  <c r="Q103" i="1"/>
  <c r="S103" i="1" s="1"/>
  <c r="T103" i="1" s="1"/>
  <c r="O103" i="1"/>
  <c r="O95" i="1"/>
  <c r="Q95" i="1"/>
  <c r="S95" i="1" s="1"/>
  <c r="T95" i="1" s="1"/>
  <c r="P95" i="1"/>
  <c r="O87" i="1"/>
  <c r="Q87" i="1"/>
  <c r="S87" i="1" s="1"/>
  <c r="T87" i="1" s="1"/>
  <c r="P87" i="1"/>
  <c r="O79" i="1"/>
  <c r="Q79" i="1"/>
  <c r="S79" i="1" s="1"/>
  <c r="T79" i="1" s="1"/>
  <c r="P79" i="1"/>
  <c r="O71" i="1"/>
  <c r="Q71" i="1"/>
  <c r="S71" i="1" s="1"/>
  <c r="T71" i="1" s="1"/>
  <c r="P71" i="1"/>
  <c r="O63" i="1"/>
  <c r="P63" i="1"/>
  <c r="Q63" i="1"/>
  <c r="S63" i="1" s="1"/>
  <c r="T63" i="1" s="1"/>
  <c r="O55" i="1"/>
  <c r="P55" i="1"/>
  <c r="O47" i="1"/>
  <c r="P47" i="1"/>
  <c r="Q47" i="1"/>
  <c r="S47" i="1" s="1"/>
  <c r="T47" i="1" s="1"/>
  <c r="O39" i="1"/>
  <c r="P39" i="1"/>
  <c r="O31" i="1"/>
  <c r="Q31" i="1"/>
  <c r="S31" i="1" s="1"/>
  <c r="T31" i="1" s="1"/>
  <c r="P31" i="1"/>
  <c r="O23" i="1"/>
  <c r="P23" i="1"/>
  <c r="Q23" i="1"/>
  <c r="S23" i="1" s="1"/>
  <c r="T23" i="1" s="1"/>
  <c r="O15" i="1"/>
  <c r="P15" i="1"/>
  <c r="Q15" i="1"/>
  <c r="S15" i="1" s="1"/>
  <c r="O7" i="1"/>
  <c r="P7" i="1"/>
  <c r="Q7" i="1"/>
  <c r="S7" i="1" s="1"/>
  <c r="T7" i="1" s="1"/>
  <c r="P247" i="1"/>
  <c r="P211" i="1"/>
  <c r="P193" i="1"/>
  <c r="P175" i="1"/>
  <c r="P156" i="1"/>
  <c r="P138" i="1"/>
  <c r="P120" i="1"/>
  <c r="P83" i="1"/>
  <c r="P65" i="1"/>
  <c r="P36" i="1"/>
  <c r="P4" i="1"/>
  <c r="Q221" i="1"/>
  <c r="Q157" i="1"/>
  <c r="Q125" i="1"/>
  <c r="Q93" i="1"/>
  <c r="S93" i="1" s="1"/>
  <c r="T93" i="1" s="1"/>
  <c r="Q58" i="1"/>
  <c r="Q17" i="1"/>
  <c r="S17" i="1" s="1"/>
  <c r="T17" i="1" s="1"/>
  <c r="O225" i="1"/>
  <c r="O162" i="1"/>
  <c r="O84" i="1"/>
  <c r="Q224" i="1"/>
  <c r="S224" i="1" s="1"/>
  <c r="T224" i="1" s="1"/>
  <c r="P224" i="1"/>
  <c r="Q208" i="1"/>
  <c r="S208" i="1" s="1"/>
  <c r="T208" i="1" s="1"/>
  <c r="P208" i="1"/>
  <c r="O208" i="1"/>
  <c r="O168" i="1"/>
  <c r="Q168" i="1"/>
  <c r="S168" i="1" s="1"/>
  <c r="T168" i="1" s="1"/>
  <c r="P168" i="1"/>
  <c r="O128" i="1"/>
  <c r="Q128" i="1"/>
  <c r="S128" i="1" s="1"/>
  <c r="T128" i="1" s="1"/>
  <c r="O246" i="1"/>
  <c r="P246" i="1"/>
  <c r="Q246" i="1"/>
  <c r="S246" i="1" s="1"/>
  <c r="T246" i="1" s="1"/>
  <c r="O238" i="1"/>
  <c r="P238" i="1"/>
  <c r="O230" i="1"/>
  <c r="P230" i="1"/>
  <c r="Q230" i="1"/>
  <c r="O222" i="1"/>
  <c r="P222" i="1"/>
  <c r="O214" i="1"/>
  <c r="P214" i="1"/>
  <c r="Q214" i="1"/>
  <c r="S214" i="1" s="1"/>
  <c r="T214" i="1" s="1"/>
  <c r="O206" i="1"/>
  <c r="P206" i="1"/>
  <c r="O198" i="1"/>
  <c r="P198" i="1"/>
  <c r="Q198" i="1"/>
  <c r="O190" i="1"/>
  <c r="P190" i="1"/>
  <c r="O182" i="1"/>
  <c r="P182" i="1"/>
  <c r="Q182" i="1"/>
  <c r="O174" i="1"/>
  <c r="P174" i="1"/>
  <c r="O166" i="1"/>
  <c r="P166" i="1"/>
  <c r="Q166" i="1"/>
  <c r="O158" i="1"/>
  <c r="P158" i="1"/>
  <c r="O150" i="1"/>
  <c r="P150" i="1"/>
  <c r="Q150" i="1"/>
  <c r="O142" i="1"/>
  <c r="P142" i="1"/>
  <c r="O134" i="1"/>
  <c r="P134" i="1"/>
  <c r="Q134" i="1"/>
  <c r="O126" i="1"/>
  <c r="P126" i="1"/>
  <c r="O118" i="1"/>
  <c r="P118" i="1"/>
  <c r="Q118" i="1"/>
  <c r="S118" i="1" s="1"/>
  <c r="T118" i="1" s="1"/>
  <c r="O110" i="1"/>
  <c r="P110" i="1"/>
  <c r="O102" i="1"/>
  <c r="P102" i="1"/>
  <c r="Q102" i="1"/>
  <c r="O94" i="1"/>
  <c r="P94" i="1"/>
  <c r="O86" i="1"/>
  <c r="P86" i="1"/>
  <c r="Q86" i="1"/>
  <c r="S86" i="1" s="1"/>
  <c r="T86" i="1" s="1"/>
  <c r="O78" i="1"/>
  <c r="P78" i="1"/>
  <c r="O70" i="1"/>
  <c r="Q70" i="1"/>
  <c r="P70" i="1"/>
  <c r="O62" i="1"/>
  <c r="P62" i="1"/>
  <c r="Q62" i="1"/>
  <c r="S62" i="1" s="1"/>
  <c r="T62" i="1" s="1"/>
  <c r="O54" i="1"/>
  <c r="P54" i="1"/>
  <c r="Q54" i="1"/>
  <c r="S54" i="1" s="1"/>
  <c r="T54" i="1" s="1"/>
  <c r="O46" i="1"/>
  <c r="P46" i="1"/>
  <c r="Q46" i="1"/>
  <c r="S46" i="1" s="1"/>
  <c r="T46" i="1" s="1"/>
  <c r="O38" i="1"/>
  <c r="P38" i="1"/>
  <c r="O30" i="1"/>
  <c r="P30" i="1"/>
  <c r="Q30" i="1"/>
  <c r="S30" i="1" s="1"/>
  <c r="T30" i="1" s="1"/>
  <c r="O22" i="1"/>
  <c r="P22" i="1"/>
  <c r="Q22" i="1"/>
  <c r="S22" i="1" s="1"/>
  <c r="T22" i="1" s="1"/>
  <c r="O14" i="1"/>
  <c r="P14" i="1"/>
  <c r="O6" i="1"/>
  <c r="P6" i="1"/>
  <c r="Q6" i="1"/>
  <c r="P245" i="1"/>
  <c r="P228" i="1"/>
  <c r="P210" i="1"/>
  <c r="P192" i="1"/>
  <c r="P173" i="1"/>
  <c r="P155" i="1"/>
  <c r="P137" i="1"/>
  <c r="P119" i="1"/>
  <c r="P100" i="1"/>
  <c r="P82" i="1"/>
  <c r="P64" i="1"/>
  <c r="P35" i="1"/>
  <c r="P3" i="1"/>
  <c r="Q220" i="1"/>
  <c r="Q188" i="1"/>
  <c r="Q156" i="1"/>
  <c r="Q124" i="1"/>
  <c r="S124" i="1" s="1"/>
  <c r="T124" i="1" s="1"/>
  <c r="Q92" i="1"/>
  <c r="Q57" i="1"/>
  <c r="S57" i="1" s="1"/>
  <c r="T57" i="1" s="1"/>
  <c r="Q16" i="1"/>
  <c r="S16" i="1" s="1"/>
  <c r="T16" i="1" s="1"/>
  <c r="O224" i="1"/>
  <c r="O161" i="1"/>
  <c r="O83" i="1"/>
  <c r="O227" i="1"/>
  <c r="Q227" i="1"/>
  <c r="S227" i="1" s="1"/>
  <c r="T227" i="1" s="1"/>
  <c r="Q179" i="1"/>
  <c r="O179" i="1"/>
  <c r="P179" i="1"/>
  <c r="Q139" i="1"/>
  <c r="S139" i="1" s="1"/>
  <c r="T139" i="1" s="1"/>
  <c r="O139" i="1"/>
  <c r="Q43" i="1"/>
  <c r="O43" i="1"/>
  <c r="P43" i="1"/>
  <c r="Q232" i="1"/>
  <c r="S232" i="1" s="1"/>
  <c r="T232" i="1" s="1"/>
  <c r="O232" i="1"/>
  <c r="P232" i="1"/>
  <c r="O216" i="1"/>
  <c r="Q216" i="1"/>
  <c r="S216" i="1" s="1"/>
  <c r="T216" i="1" s="1"/>
  <c r="P216" i="1"/>
  <c r="Q184" i="1"/>
  <c r="S184" i="1" s="1"/>
  <c r="T184" i="1" s="1"/>
  <c r="O184" i="1"/>
  <c r="O152" i="1"/>
  <c r="Q152" i="1"/>
  <c r="S152" i="1" s="1"/>
  <c r="T152" i="1" s="1"/>
  <c r="P152" i="1"/>
  <c r="O229" i="1"/>
  <c r="Q229" i="1"/>
  <c r="O213" i="1"/>
  <c r="Q213" i="1"/>
  <c r="S213" i="1" s="1"/>
  <c r="T213" i="1" s="1"/>
  <c r="P213" i="1"/>
  <c r="O205" i="1"/>
  <c r="P205" i="1"/>
  <c r="O197" i="1"/>
  <c r="Q197" i="1"/>
  <c r="P197" i="1"/>
  <c r="O189" i="1"/>
  <c r="P189" i="1"/>
  <c r="O181" i="1"/>
  <c r="Q181" i="1"/>
  <c r="O165" i="1"/>
  <c r="Q165" i="1"/>
  <c r="S165" i="1" s="1"/>
  <c r="T165" i="1" s="1"/>
  <c r="O149" i="1"/>
  <c r="Q149" i="1"/>
  <c r="P149" i="1"/>
  <c r="O141" i="1"/>
  <c r="P141" i="1"/>
  <c r="O133" i="1"/>
  <c r="Q133" i="1"/>
  <c r="S133" i="1" s="1"/>
  <c r="T133" i="1" s="1"/>
  <c r="P133" i="1"/>
  <c r="O117" i="1"/>
  <c r="Q117" i="1"/>
  <c r="O101" i="1"/>
  <c r="Q101" i="1"/>
  <c r="S101" i="1" s="1"/>
  <c r="T101" i="1" s="1"/>
  <c r="O85" i="1"/>
  <c r="Q85" i="1"/>
  <c r="S85" i="1" s="1"/>
  <c r="T85" i="1" s="1"/>
  <c r="P85" i="1"/>
  <c r="O77" i="1"/>
  <c r="P77" i="1"/>
  <c r="O69" i="1"/>
  <c r="P69" i="1"/>
  <c r="Q69" i="1"/>
  <c r="O61" i="1"/>
  <c r="Q61" i="1"/>
  <c r="S61" i="1" s="1"/>
  <c r="T61" i="1" s="1"/>
  <c r="O53" i="1"/>
  <c r="Q53" i="1"/>
  <c r="S53" i="1" s="1"/>
  <c r="T53" i="1" s="1"/>
  <c r="Q45" i="1"/>
  <c r="S45" i="1" s="1"/>
  <c r="T45" i="1" s="1"/>
  <c r="O45" i="1"/>
  <c r="P45" i="1"/>
  <c r="O37" i="1"/>
  <c r="Q37" i="1"/>
  <c r="O29" i="1"/>
  <c r="Q29" i="1"/>
  <c r="S29" i="1" s="1"/>
  <c r="T29" i="1" s="1"/>
  <c r="P29" i="1"/>
  <c r="O21" i="1"/>
  <c r="Q21" i="1"/>
  <c r="Q13" i="1"/>
  <c r="O13" i="1"/>
  <c r="P13" i="1"/>
  <c r="O5" i="1"/>
  <c r="Q5" i="1"/>
  <c r="S5" i="1" s="1"/>
  <c r="T5" i="1" s="1"/>
  <c r="P242" i="1"/>
  <c r="P227" i="1"/>
  <c r="P209" i="1"/>
  <c r="P191" i="1"/>
  <c r="P172" i="1"/>
  <c r="P154" i="1"/>
  <c r="P136" i="1"/>
  <c r="P117" i="1"/>
  <c r="P99" i="1"/>
  <c r="P81" i="1"/>
  <c r="P61" i="1"/>
  <c r="P33" i="1"/>
  <c r="Q250" i="1"/>
  <c r="S250" i="1" s="1"/>
  <c r="T250" i="1" s="1"/>
  <c r="Q218" i="1"/>
  <c r="S218" i="1" s="1"/>
  <c r="T218" i="1" s="1"/>
  <c r="Q186" i="1"/>
  <c r="S186" i="1" s="1"/>
  <c r="T186" i="1" s="1"/>
  <c r="Q154" i="1"/>
  <c r="S154" i="1" s="1"/>
  <c r="T154" i="1" s="1"/>
  <c r="Q122" i="1"/>
  <c r="S122" i="1" s="1"/>
  <c r="T122" i="1" s="1"/>
  <c r="Q90" i="1"/>
  <c r="S90" i="1" s="1"/>
  <c r="T90" i="1" s="1"/>
  <c r="Q55" i="1"/>
  <c r="S55" i="1" s="1"/>
  <c r="T55" i="1" s="1"/>
  <c r="Q14" i="1"/>
  <c r="S14" i="1" s="1"/>
  <c r="O219" i="1"/>
  <c r="O76" i="1"/>
  <c r="S251" i="1"/>
  <c r="T251" i="1" s="1"/>
  <c r="S243" i="1"/>
  <c r="T243" i="1" s="1"/>
  <c r="S235" i="1"/>
  <c r="T235" i="1" s="1"/>
  <c r="S219" i="1"/>
  <c r="T219" i="1" s="1"/>
  <c r="S211" i="1"/>
  <c r="T211" i="1" s="1"/>
  <c r="S203" i="1"/>
  <c r="T203" i="1" s="1"/>
  <c r="S195" i="1"/>
  <c r="T195" i="1" s="1"/>
  <c r="S187" i="1"/>
  <c r="T187" i="1" s="1"/>
  <c r="S179" i="1"/>
  <c r="T179" i="1" s="1"/>
  <c r="S171" i="1"/>
  <c r="T171" i="1" s="1"/>
  <c r="S163" i="1"/>
  <c r="T163" i="1" s="1"/>
  <c r="S155" i="1"/>
  <c r="T155" i="1" s="1"/>
  <c r="S131" i="1"/>
  <c r="T131" i="1" s="1"/>
  <c r="S123" i="1"/>
  <c r="T123" i="1" s="1"/>
  <c r="S115" i="1"/>
  <c r="T115" i="1" s="1"/>
  <c r="S107" i="1"/>
  <c r="T107" i="1" s="1"/>
  <c r="S99" i="1"/>
  <c r="T99" i="1" s="1"/>
  <c r="S91" i="1"/>
  <c r="T91" i="1" s="1"/>
  <c r="S83" i="1"/>
  <c r="T83" i="1" s="1"/>
  <c r="S75" i="1"/>
  <c r="T75" i="1" s="1"/>
  <c r="S67" i="1"/>
  <c r="T67" i="1" s="1"/>
  <c r="S51" i="1"/>
  <c r="T51" i="1" s="1"/>
  <c r="S43" i="1"/>
  <c r="T43" i="1" s="1"/>
  <c r="S35" i="1"/>
  <c r="T35" i="1" s="1"/>
  <c r="S27" i="1"/>
  <c r="T27" i="1" s="1"/>
  <c r="S19" i="1"/>
  <c r="T19" i="1" s="1"/>
  <c r="S3" i="1"/>
  <c r="T3" i="1" s="1"/>
  <c r="S242" i="1"/>
  <c r="T242" i="1" s="1"/>
  <c r="S234" i="1"/>
  <c r="T234" i="1" s="1"/>
  <c r="S226" i="1"/>
  <c r="T226" i="1" s="1"/>
  <c r="S210" i="1"/>
  <c r="T210" i="1" s="1"/>
  <c r="S202" i="1"/>
  <c r="T202" i="1" s="1"/>
  <c r="S194" i="1"/>
  <c r="T194" i="1" s="1"/>
  <c r="S178" i="1"/>
  <c r="T178" i="1" s="1"/>
  <c r="S170" i="1"/>
  <c r="T170" i="1" s="1"/>
  <c r="S162" i="1"/>
  <c r="T162" i="1" s="1"/>
  <c r="S146" i="1"/>
  <c r="T146" i="1" s="1"/>
  <c r="S138" i="1"/>
  <c r="T138" i="1" s="1"/>
  <c r="S130" i="1"/>
  <c r="T130" i="1" s="1"/>
  <c r="S114" i="1"/>
  <c r="T114" i="1" s="1"/>
  <c r="S106" i="1"/>
  <c r="T106" i="1" s="1"/>
  <c r="S98" i="1"/>
  <c r="T98" i="1" s="1"/>
  <c r="S82" i="1"/>
  <c r="T82" i="1" s="1"/>
  <c r="S74" i="1"/>
  <c r="T74" i="1" s="1"/>
  <c r="S66" i="1"/>
  <c r="T66" i="1" s="1"/>
  <c r="S58" i="1"/>
  <c r="T58" i="1" s="1"/>
  <c r="S50" i="1"/>
  <c r="T50" i="1" s="1"/>
  <c r="S34" i="1"/>
  <c r="T34" i="1" s="1"/>
  <c r="S26" i="1"/>
  <c r="T26" i="1" s="1"/>
  <c r="S18" i="1"/>
  <c r="T18" i="1" s="1"/>
  <c r="S10" i="1"/>
  <c r="T10" i="1" s="1"/>
  <c r="T238" i="1"/>
  <c r="S230" i="1"/>
  <c r="T230" i="1" s="1"/>
  <c r="T222" i="1"/>
  <c r="T206" i="1"/>
  <c r="S198" i="1"/>
  <c r="T198" i="1" s="1"/>
  <c r="T190" i="1"/>
  <c r="S182" i="1"/>
  <c r="T182" i="1" s="1"/>
  <c r="T174" i="1"/>
  <c r="S166" i="1"/>
  <c r="T166" i="1" s="1"/>
  <c r="T158" i="1"/>
  <c r="S150" i="1"/>
  <c r="T150" i="1" s="1"/>
  <c r="T142" i="1"/>
  <c r="S134" i="1"/>
  <c r="T134" i="1" s="1"/>
  <c r="T126" i="1"/>
  <c r="T110" i="1"/>
  <c r="S102" i="1"/>
  <c r="T102" i="1" s="1"/>
  <c r="T94" i="1"/>
  <c r="T78" i="1"/>
  <c r="S70" i="1"/>
  <c r="T70" i="1" s="1"/>
  <c r="S38" i="1"/>
  <c r="T38" i="1" s="1"/>
  <c r="T14" i="1"/>
  <c r="S6" i="1"/>
  <c r="T6" i="1" s="1"/>
  <c r="S245" i="1"/>
  <c r="T245" i="1" s="1"/>
  <c r="S237" i="1"/>
  <c r="T237" i="1" s="1"/>
  <c r="S229" i="1"/>
  <c r="T229" i="1" s="1"/>
  <c r="S221" i="1"/>
  <c r="T221" i="1" s="1"/>
  <c r="S205" i="1"/>
  <c r="T205" i="1" s="1"/>
  <c r="S197" i="1"/>
  <c r="T197" i="1" s="1"/>
  <c r="S189" i="1"/>
  <c r="T189" i="1" s="1"/>
  <c r="S181" i="1"/>
  <c r="T181" i="1" s="1"/>
  <c r="S173" i="1"/>
  <c r="T173" i="1" s="1"/>
  <c r="S157" i="1"/>
  <c r="T157" i="1" s="1"/>
  <c r="S149" i="1"/>
  <c r="T149" i="1" s="1"/>
  <c r="S141" i="1"/>
  <c r="T141" i="1" s="1"/>
  <c r="S125" i="1"/>
  <c r="T125" i="1" s="1"/>
  <c r="S117" i="1"/>
  <c r="T117" i="1" s="1"/>
  <c r="S109" i="1"/>
  <c r="T109" i="1" s="1"/>
  <c r="S77" i="1"/>
  <c r="T77" i="1" s="1"/>
  <c r="S69" i="1"/>
  <c r="T69" i="1" s="1"/>
  <c r="S37" i="1"/>
  <c r="T37" i="1" s="1"/>
  <c r="S21" i="1"/>
  <c r="T21" i="1" s="1"/>
  <c r="S13" i="1"/>
  <c r="T13" i="1" s="1"/>
  <c r="S2" i="1"/>
  <c r="T2" i="1"/>
  <c r="S244" i="1"/>
  <c r="T244" i="1"/>
  <c r="S236" i="1"/>
  <c r="T236" i="1"/>
  <c r="S220" i="1"/>
  <c r="T220" i="1" s="1"/>
  <c r="S212" i="1"/>
  <c r="T212" i="1"/>
  <c r="S204" i="1"/>
  <c r="T204" i="1"/>
  <c r="S196" i="1"/>
  <c r="T196" i="1"/>
  <c r="S188" i="1"/>
  <c r="T188" i="1" s="1"/>
  <c r="S180" i="1"/>
  <c r="T180" i="1"/>
  <c r="S172" i="1"/>
  <c r="T172" i="1"/>
  <c r="S164" i="1"/>
  <c r="T164" i="1"/>
  <c r="S156" i="1"/>
  <c r="T156" i="1" s="1"/>
  <c r="S148" i="1"/>
  <c r="T148" i="1"/>
  <c r="S140" i="1"/>
  <c r="T140" i="1"/>
  <c r="S132" i="1"/>
  <c r="T132" i="1"/>
  <c r="S116" i="1"/>
  <c r="T116" i="1" s="1"/>
  <c r="S108" i="1"/>
  <c r="T108" i="1"/>
  <c r="S100" i="1"/>
  <c r="T100" i="1"/>
  <c r="S92" i="1"/>
  <c r="T92" i="1"/>
  <c r="S84" i="1"/>
  <c r="T84" i="1" s="1"/>
  <c r="S76" i="1"/>
  <c r="T76" i="1"/>
  <c r="S68" i="1"/>
  <c r="T68" i="1"/>
  <c r="S60" i="1"/>
  <c r="T60" i="1"/>
  <c r="S52" i="1"/>
  <c r="T52" i="1" s="1"/>
  <c r="S44" i="1"/>
  <c r="T44" i="1"/>
  <c r="S36" i="1"/>
  <c r="T36" i="1"/>
  <c r="S28" i="1"/>
  <c r="T28" i="1"/>
  <c r="S20" i="1"/>
  <c r="T20" i="1" s="1"/>
  <c r="S4" i="1"/>
  <c r="T4" i="1"/>
  <c r="T167" i="1"/>
  <c r="T39" i="1"/>
  <c r="T15" i="1"/>
  <c r="W48" i="1" l="1"/>
  <c r="W50" i="1"/>
  <c r="W49" i="1"/>
  <c r="X60" i="1"/>
  <c r="W14" i="1"/>
  <c r="W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<sst xmlns="http://schemas.openxmlformats.org/spreadsheetml/2006/main" count="1661" uniqueCount="650">
  <si>
    <t>Transaction_ID</t>
  </si>
  <si>
    <t>Transaction_Date</t>
  </si>
  <si>
    <t>Customer_Info</t>
  </si>
  <si>
    <t>Product_Info</t>
  </si>
  <si>
    <t>Location</t>
  </si>
  <si>
    <t>Quantity</t>
  </si>
  <si>
    <t>Unit_Price</t>
  </si>
  <si>
    <t>Payment_Mode</t>
  </si>
  <si>
    <t>Salesperson</t>
  </si>
  <si>
    <t>TXN001</t>
  </si>
  <si>
    <t>C001-Nandana-Trivandrum</t>
  </si>
  <si>
    <t>P101-Laptop</t>
  </si>
  <si>
    <t>Trivandrum</t>
  </si>
  <si>
    <t>Credit Card</t>
  </si>
  <si>
    <t>Ravi</t>
  </si>
  <si>
    <t>TXN002</t>
  </si>
  <si>
    <t>C002-Joel-Trivandrum</t>
  </si>
  <si>
    <t>P102-Monitor</t>
  </si>
  <si>
    <t>UPI</t>
  </si>
  <si>
    <t>Anu</t>
  </si>
  <si>
    <t>TXN003</t>
  </si>
  <si>
    <t>C003-Arjun-Kannur</t>
  </si>
  <si>
    <t>Kannur</t>
  </si>
  <si>
    <t>Debit Card</t>
  </si>
  <si>
    <t>TXN004</t>
  </si>
  <si>
    <t>C004-Lakshmi-Kollam</t>
  </si>
  <si>
    <t>Kollam</t>
  </si>
  <si>
    <t>Cash</t>
  </si>
  <si>
    <t>Meera</t>
  </si>
  <si>
    <t>TXN005</t>
  </si>
  <si>
    <t>C005-Akhil-Kannur</t>
  </si>
  <si>
    <t>P106-Printer</t>
  </si>
  <si>
    <t>TXN006</t>
  </si>
  <si>
    <t>C006-Sneha-Kollam</t>
  </si>
  <si>
    <t>Suresh</t>
  </si>
  <si>
    <t>TXN007</t>
  </si>
  <si>
    <t>C007-Mohammed-Kollam</t>
  </si>
  <si>
    <t>TXN008</t>
  </si>
  <si>
    <t>C008-Farhan-Kannur</t>
  </si>
  <si>
    <t>P105-Headphones</t>
  </si>
  <si>
    <t>TXN009</t>
  </si>
  <si>
    <t>C009-Sanjay-Alappuzha</t>
  </si>
  <si>
    <t>Alappuzha</t>
  </si>
  <si>
    <t>TXN010</t>
  </si>
  <si>
    <t>C010-Swathi-Trivandrum</t>
  </si>
  <si>
    <t>P103-Keyboard</t>
  </si>
  <si>
    <t>TXN011</t>
  </si>
  <si>
    <t>C011-Vishnu-Kollam</t>
  </si>
  <si>
    <t>P104-Mouse</t>
  </si>
  <si>
    <t>TXN012</t>
  </si>
  <si>
    <t>C012-Nikhil-Thrissur</t>
  </si>
  <si>
    <t>Thrissur</t>
  </si>
  <si>
    <t>TXN013</t>
  </si>
  <si>
    <t>C013-Nandana-Alappuzha</t>
  </si>
  <si>
    <t>P107-Webcam</t>
  </si>
  <si>
    <t>TXN014</t>
  </si>
  <si>
    <t>C014-Divya-Kollam</t>
  </si>
  <si>
    <t>TXN015</t>
  </si>
  <si>
    <t>C015-Meera-Alappuzha</t>
  </si>
  <si>
    <t>TXN016</t>
  </si>
  <si>
    <t>C016-Farhan-Thrissur</t>
  </si>
  <si>
    <t>Asha</t>
  </si>
  <si>
    <t>TXN017</t>
  </si>
  <si>
    <t>C017-Sanjay-Kochi</t>
  </si>
  <si>
    <t>Kochi</t>
  </si>
  <si>
    <t>TXN018</t>
  </si>
  <si>
    <t>C018-Priya-Kollam</t>
  </si>
  <si>
    <t>TXN019</t>
  </si>
  <si>
    <t>C019-Neha-Trivandrum</t>
  </si>
  <si>
    <t>TXN020</t>
  </si>
  <si>
    <t>C020-Sneha-Kozhikode</t>
  </si>
  <si>
    <t>Kozhikode</t>
  </si>
  <si>
    <t>TXN021</t>
  </si>
  <si>
    <t>C021-Sneha-Kollam</t>
  </si>
  <si>
    <t>TXN022</t>
  </si>
  <si>
    <t>C022-Joel-Alappuzha</t>
  </si>
  <si>
    <t>TXN023</t>
  </si>
  <si>
    <t>C023-Ravi-Kozhikode</t>
  </si>
  <si>
    <t>TXN024</t>
  </si>
  <si>
    <t>C024-Ravi-Kannur</t>
  </si>
  <si>
    <t>TXN025</t>
  </si>
  <si>
    <t>C025-Meera-Alappuzha</t>
  </si>
  <si>
    <t>TXN026</t>
  </si>
  <si>
    <t>C026-Asha-Kannur</t>
  </si>
  <si>
    <t>TXN027</t>
  </si>
  <si>
    <t>C027-Mohammed-Kochi</t>
  </si>
  <si>
    <t>TXN028</t>
  </si>
  <si>
    <t>C028-Arjun-Kozhikode</t>
  </si>
  <si>
    <t>P108-SSD</t>
  </si>
  <si>
    <t>TXN029</t>
  </si>
  <si>
    <t>C029-Priya-Trivandrum</t>
  </si>
  <si>
    <t>TXN030</t>
  </si>
  <si>
    <t>C030-Farhan-Trivandrum</t>
  </si>
  <si>
    <t>TXN031</t>
  </si>
  <si>
    <t>C031-Arjun-Kannur</t>
  </si>
  <si>
    <t>TXN032</t>
  </si>
  <si>
    <t>C032-Divya-Trivandrum</t>
  </si>
  <si>
    <t>TXN033</t>
  </si>
  <si>
    <t>C033-Divya-Kozhikode</t>
  </si>
  <si>
    <t>TXN034</t>
  </si>
  <si>
    <t>C034-Neha-Thrissur</t>
  </si>
  <si>
    <t>TXN035</t>
  </si>
  <si>
    <t>C035-Swathi-Alappuzha</t>
  </si>
  <si>
    <t>TXN036</t>
  </si>
  <si>
    <t>C036-Joel-Kochi</t>
  </si>
  <si>
    <t>TXN037</t>
  </si>
  <si>
    <t xml:space="preserve"> C037-Meera-Kozhikode</t>
  </si>
  <si>
    <t>TXN038</t>
  </si>
  <si>
    <t>C038-Mohammed-Kannur</t>
  </si>
  <si>
    <t>TXN039</t>
  </si>
  <si>
    <t>C039-Adithya-Kochi</t>
  </si>
  <si>
    <t>TXN040</t>
  </si>
  <si>
    <t>C040-Arjun-Malappuram</t>
  </si>
  <si>
    <t>Malappuram</t>
  </si>
  <si>
    <t>TXN041</t>
  </si>
  <si>
    <t>C041-Nikhil-Trivandrum</t>
  </si>
  <si>
    <t>TXN042</t>
  </si>
  <si>
    <t>C042-Ravi-Kannur</t>
  </si>
  <si>
    <t>TXN043</t>
  </si>
  <si>
    <t>C043-Sneha-Kollam</t>
  </si>
  <si>
    <t>TXN044</t>
  </si>
  <si>
    <t>C044-Nandana-Kochi</t>
  </si>
  <si>
    <t>TXN045</t>
  </si>
  <si>
    <t>C045-Priya-Kozhikode</t>
  </si>
  <si>
    <t>TXN046</t>
  </si>
  <si>
    <t>C046-Farhan-Kollam</t>
  </si>
  <si>
    <t>TXN047</t>
  </si>
  <si>
    <t>C047-Sanjay-Kochi</t>
  </si>
  <si>
    <t>TXN048</t>
  </si>
  <si>
    <t>C048-Joel-Alappuzha</t>
  </si>
  <si>
    <t>TXN049</t>
  </si>
  <si>
    <t>C049-Ravi-Kochi</t>
  </si>
  <si>
    <t>TXN050</t>
  </si>
  <si>
    <t>C050-Anjali-Kollam</t>
  </si>
  <si>
    <t>TXN051</t>
  </si>
  <si>
    <t>C051-Farhan-Trivandrum</t>
  </si>
  <si>
    <t>TXN052</t>
  </si>
  <si>
    <t>C052-Neha-Kozhikode</t>
  </si>
  <si>
    <t>TXN053</t>
  </si>
  <si>
    <t>C053-Farhan-Kannur</t>
  </si>
  <si>
    <t xml:space="preserve">P105-Headphones </t>
  </si>
  <si>
    <t>TXN054</t>
  </si>
  <si>
    <t>C054-Anjali-Alappuzha</t>
  </si>
  <si>
    <t>TXN055</t>
  </si>
  <si>
    <t>C055-Divya-Kannur</t>
  </si>
  <si>
    <t>TXN056</t>
  </si>
  <si>
    <t>C056-Mohammed-Kollam</t>
  </si>
  <si>
    <t>TXN057</t>
  </si>
  <si>
    <t>C057-Priya-Kollam</t>
  </si>
  <si>
    <t>TXN058</t>
  </si>
  <si>
    <t>C058-Adithya-Thrissur</t>
  </si>
  <si>
    <t>TXN059</t>
  </si>
  <si>
    <t>C059-Meera-Trivandrum</t>
  </si>
  <si>
    <t>TXN060</t>
  </si>
  <si>
    <t>C060-Rahul-Kannur</t>
  </si>
  <si>
    <t>TXN061</t>
  </si>
  <si>
    <t>C061-Nikhil-Trivandrum</t>
  </si>
  <si>
    <t>TXN062</t>
  </si>
  <si>
    <t>C062-Vishnu-Kollam</t>
  </si>
  <si>
    <t>TXN063</t>
  </si>
  <si>
    <t>C063-Adithya-Kollam</t>
  </si>
  <si>
    <t>TXN064</t>
  </si>
  <si>
    <t>C064-Arjun-Thrissur</t>
  </si>
  <si>
    <t>TXN065</t>
  </si>
  <si>
    <t>C065-Kiran-Kozhikode</t>
  </si>
  <si>
    <t>TXN066</t>
  </si>
  <si>
    <t>C066-Divya-Kollam</t>
  </si>
  <si>
    <t>TXN067</t>
  </si>
  <si>
    <t>C067-Kiran-Trivandrum</t>
  </si>
  <si>
    <t>TXN068</t>
  </si>
  <si>
    <t>C068-Kiran-Thrissur</t>
  </si>
  <si>
    <t>TXN069</t>
  </si>
  <si>
    <t>C069-Amal-Kannur</t>
  </si>
  <si>
    <t>TXN070</t>
  </si>
  <si>
    <t>C070-Divya-Trivandrum</t>
  </si>
  <si>
    <t>TXN071</t>
  </si>
  <si>
    <t>C071-Adithya-Thrissur</t>
  </si>
  <si>
    <t>TXN072</t>
  </si>
  <si>
    <t>C072-Divya-Kollam</t>
  </si>
  <si>
    <t>TXN073</t>
  </si>
  <si>
    <t>C073-Swathi-Kollam</t>
  </si>
  <si>
    <t>TXN074</t>
  </si>
  <si>
    <t xml:space="preserve"> C074-Akhil-Kannur</t>
  </si>
  <si>
    <t>TXN075</t>
  </si>
  <si>
    <t>C075-Amal-Thrissur</t>
  </si>
  <si>
    <t>TXN076</t>
  </si>
  <si>
    <t>C076-Amal-Thrissur</t>
  </si>
  <si>
    <t>TXN077</t>
  </si>
  <si>
    <t>C077-Fathima-Thrissur</t>
  </si>
  <si>
    <t>TXN078</t>
  </si>
  <si>
    <t>C078-Divya-Kollam</t>
  </si>
  <si>
    <t>TXN079</t>
  </si>
  <si>
    <t>C079-Joel-Kozhikode</t>
  </si>
  <si>
    <t>TXN080</t>
  </si>
  <si>
    <t>C080-Asha-Kochi</t>
  </si>
  <si>
    <t>TXN081</t>
  </si>
  <si>
    <t>C081-Anjali-Kollam</t>
  </si>
  <si>
    <t>TXN082</t>
  </si>
  <si>
    <t>C082-Vishnu-Kollam</t>
  </si>
  <si>
    <t>TXN083</t>
  </si>
  <si>
    <t>C083-Joel-Kochi</t>
  </si>
  <si>
    <t>TXN084</t>
  </si>
  <si>
    <t>C084-Divya-Kannur</t>
  </si>
  <si>
    <t>TXN085</t>
  </si>
  <si>
    <t>C085-Farhan-Trivandrum</t>
  </si>
  <si>
    <t>TXN086</t>
  </si>
  <si>
    <t>C086-Adithya-Trivandrum</t>
  </si>
  <si>
    <t>TXN087</t>
  </si>
  <si>
    <t>C087-Asha-Thrissur</t>
  </si>
  <si>
    <t>TXN088</t>
  </si>
  <si>
    <t>C088-Swathi-Kollam</t>
  </si>
  <si>
    <t>TXN089</t>
  </si>
  <si>
    <t>C089-Amal-Malappuram</t>
  </si>
  <si>
    <t>TXN090</t>
  </si>
  <si>
    <t>C090-Kiran-Trivandrum</t>
  </si>
  <si>
    <t>TXN091</t>
  </si>
  <si>
    <t>C091-Neha-Kollam</t>
  </si>
  <si>
    <t>TXN092</t>
  </si>
  <si>
    <t>C092-Divya-Trivandrum</t>
  </si>
  <si>
    <t>TXN093</t>
  </si>
  <si>
    <t>C093-Rahul-Alappuzha</t>
  </si>
  <si>
    <t>TXN094</t>
  </si>
  <si>
    <t>C094-Nikhil-Kollam</t>
  </si>
  <si>
    <t>TXN095</t>
  </si>
  <si>
    <t>C095-Divya-Thrissur</t>
  </si>
  <si>
    <t>TXN096</t>
  </si>
  <si>
    <t>C096-Lakshmi-Kochi</t>
  </si>
  <si>
    <t>TXN097</t>
  </si>
  <si>
    <t>C097-Farhan-Malappuram</t>
  </si>
  <si>
    <t>TXN098</t>
  </si>
  <si>
    <t>C098-Nikhil-Malappuram</t>
  </si>
  <si>
    <t>TXN099</t>
  </si>
  <si>
    <t>C099-Joel-Kannur</t>
  </si>
  <si>
    <t>TXN100</t>
  </si>
  <si>
    <t>C100-Arjun-Alappuzha</t>
  </si>
  <si>
    <t>TXN101</t>
  </si>
  <si>
    <t>C101-Arjun-Kollam</t>
  </si>
  <si>
    <t>TXN102</t>
  </si>
  <si>
    <t>C102-Akhil-Kollam</t>
  </si>
  <si>
    <t>TXN103</t>
  </si>
  <si>
    <t>C103-Priya-Kochi</t>
  </si>
  <si>
    <t>TXN104</t>
  </si>
  <si>
    <t>C104-Anjali-Kollam</t>
  </si>
  <si>
    <t>TXN105</t>
  </si>
  <si>
    <t>C105-Mohammed-Kochi</t>
  </si>
  <si>
    <t>TXN106</t>
  </si>
  <si>
    <t>C106-Divya-Trivandrum</t>
  </si>
  <si>
    <t xml:space="preserve">P107-Webcam </t>
  </si>
  <si>
    <t>TXN107</t>
  </si>
  <si>
    <t>C107-Vishnu-Alappuzha</t>
  </si>
  <si>
    <t>TXN108</t>
  </si>
  <si>
    <t>C108-Asha-Kochi</t>
  </si>
  <si>
    <t>TXN109</t>
  </si>
  <si>
    <t>C109-Neha-Kannur</t>
  </si>
  <si>
    <t>TXN110</t>
  </si>
  <si>
    <t>C110-Lakshmi-Alappuzha</t>
  </si>
  <si>
    <t>TXN111</t>
  </si>
  <si>
    <t xml:space="preserve"> C111-Mohammed-Kannur</t>
  </si>
  <si>
    <t>TXN112</t>
  </si>
  <si>
    <t>C112-Priya-Kannur</t>
  </si>
  <si>
    <t>TXN113</t>
  </si>
  <si>
    <t>C113-Neha-Kollam</t>
  </si>
  <si>
    <t>TXN114</t>
  </si>
  <si>
    <t>C114-Sanjay-Alappuzha</t>
  </si>
  <si>
    <t>TXN115</t>
  </si>
  <si>
    <t>C115-Adithya-Kollam</t>
  </si>
  <si>
    <t>TXN116</t>
  </si>
  <si>
    <t>C116-Asha-Kochi</t>
  </si>
  <si>
    <t>TXN117</t>
  </si>
  <si>
    <t>C117-Neha-Thrissur</t>
  </si>
  <si>
    <t>TXN118</t>
  </si>
  <si>
    <t>C118-Nikhil-Trivandrum</t>
  </si>
  <si>
    <t>TXN119</t>
  </si>
  <si>
    <t>C119-Farhan-Thrissur</t>
  </si>
  <si>
    <t>TXN120</t>
  </si>
  <si>
    <t>C120-Priya-Thrissur</t>
  </si>
  <si>
    <t>TXN121</t>
  </si>
  <si>
    <t>C121-Anjali-Kannur</t>
  </si>
  <si>
    <t>TXN122</t>
  </si>
  <si>
    <t>C122-Arjun-Kollam</t>
  </si>
  <si>
    <t>TXN123</t>
  </si>
  <si>
    <t>C123-Rahul-Kannur</t>
  </si>
  <si>
    <t>TXN124</t>
  </si>
  <si>
    <t>C124-Divya-Trivandrum</t>
  </si>
  <si>
    <t>TXN125</t>
  </si>
  <si>
    <t>C125-Meera-Kollam</t>
  </si>
  <si>
    <t>TXN126</t>
  </si>
  <si>
    <t>C126-Akhil-Thrissur</t>
  </si>
  <si>
    <t>TXN127</t>
  </si>
  <si>
    <t>C127-Sanjay-Thrissur</t>
  </si>
  <si>
    <t>TXN128</t>
  </si>
  <si>
    <t>C128-Asha-Alappuzha</t>
  </si>
  <si>
    <t>TXN129</t>
  </si>
  <si>
    <t>C129-Ravi-Thrissur</t>
  </si>
  <si>
    <t>TXN130</t>
  </si>
  <si>
    <t>C130-Vishnu-Kannur</t>
  </si>
  <si>
    <t>TXN131</t>
  </si>
  <si>
    <t>C131-Vishnu-Kozhikode</t>
  </si>
  <si>
    <t>TXN132</t>
  </si>
  <si>
    <t>C132-Lakshmi-Trivandrum</t>
  </si>
  <si>
    <t>TXN133</t>
  </si>
  <si>
    <t>C133-Mohammed-Alappuzha</t>
  </si>
  <si>
    <t>TXN134</t>
  </si>
  <si>
    <t>C134-Nikhil-Thrissur</t>
  </si>
  <si>
    <t>TXN135</t>
  </si>
  <si>
    <t>C135-Mohammed-Kannur</t>
  </si>
  <si>
    <t>TXN136</t>
  </si>
  <si>
    <t>C136-Nandana-Trivandrum</t>
  </si>
  <si>
    <t>TXN137</t>
  </si>
  <si>
    <t>C137-Nikhil-Kochi</t>
  </si>
  <si>
    <t>TXN138</t>
  </si>
  <si>
    <t>C138-Meera-Thrissur</t>
  </si>
  <si>
    <t>TXN139</t>
  </si>
  <si>
    <t>C139-Farhan-Kannur</t>
  </si>
  <si>
    <t>TXN140</t>
  </si>
  <si>
    <t>C140-Lakshmi-Kollam</t>
  </si>
  <si>
    <t>TXN141</t>
  </si>
  <si>
    <t>C141-Lakshmi-Malappuram</t>
  </si>
  <si>
    <t>TXN142</t>
  </si>
  <si>
    <t>C142-Fathima-Kannur</t>
  </si>
  <si>
    <t>TXN143</t>
  </si>
  <si>
    <t>C143-Sneha-Kollam</t>
  </si>
  <si>
    <t>TXN144</t>
  </si>
  <si>
    <t>C144-Rahul-Kochi</t>
  </si>
  <si>
    <t>TXN145</t>
  </si>
  <si>
    <t>C145-Nandana-Kannur</t>
  </si>
  <si>
    <t>TXN146</t>
  </si>
  <si>
    <t>C146-Nandana-Kochi</t>
  </si>
  <si>
    <t>TXN147</t>
  </si>
  <si>
    <t>C147-Mohammed-Kollam</t>
  </si>
  <si>
    <t>TXN148</t>
  </si>
  <si>
    <t xml:space="preserve"> C148-Ravi-Malappuram</t>
  </si>
  <si>
    <t>TXN149</t>
  </si>
  <si>
    <t>C149-Priya-Alappuzha</t>
  </si>
  <si>
    <t>TXN150</t>
  </si>
  <si>
    <t>C150-Sneha-Trivandrum</t>
  </si>
  <si>
    <t>TXN151</t>
  </si>
  <si>
    <t>C151-Sneha-Kollam</t>
  </si>
  <si>
    <t>TXN152</t>
  </si>
  <si>
    <t>C152-Kiran-Kochi</t>
  </si>
  <si>
    <t>TXN153</t>
  </si>
  <si>
    <t>C153-Swathi-Kollam</t>
  </si>
  <si>
    <t>TXN154</t>
  </si>
  <si>
    <t>C154-Kiran-Trivandrum</t>
  </si>
  <si>
    <t>TXN155</t>
  </si>
  <si>
    <t>C155-Lakshmi-Malappuram</t>
  </si>
  <si>
    <t>TXN156</t>
  </si>
  <si>
    <t>C156-Nandana-Trivandrum</t>
  </si>
  <si>
    <t>TXN157</t>
  </si>
  <si>
    <t>C157-Arjun-Alappuzha</t>
  </si>
  <si>
    <t>TXN158</t>
  </si>
  <si>
    <t>C158-Ravi-Malappuram</t>
  </si>
  <si>
    <t>TXN159</t>
  </si>
  <si>
    <t>C159-Mohammed-Kannur</t>
  </si>
  <si>
    <t xml:space="preserve">P101-Laptop </t>
  </si>
  <si>
    <t>TXN160</t>
  </si>
  <si>
    <t>C160-Asha-Kannur</t>
  </si>
  <si>
    <t>TXN161</t>
  </si>
  <si>
    <t>C161-Nikhil-Kozhikode</t>
  </si>
  <si>
    <t>TXN162</t>
  </si>
  <si>
    <t>C162-Sanjay-Kozhikode</t>
  </si>
  <si>
    <t>TXN163</t>
  </si>
  <si>
    <t>C163-Sneha-Kannur</t>
  </si>
  <si>
    <t>TXN164</t>
  </si>
  <si>
    <t>C164-Joel-Thrissur</t>
  </si>
  <si>
    <t>TXN165</t>
  </si>
  <si>
    <t>C165-Meera-Trivandrum</t>
  </si>
  <si>
    <t>TXN166</t>
  </si>
  <si>
    <t>C166-Fathima-Alappuzha</t>
  </si>
  <si>
    <t>TXN167</t>
  </si>
  <si>
    <t>C167-Kiran-Alappuzha</t>
  </si>
  <si>
    <t>TXN168</t>
  </si>
  <si>
    <t>C168-Akhil-Kollam</t>
  </si>
  <si>
    <t>TXN169</t>
  </si>
  <si>
    <t>C169-Meera-Thrissur</t>
  </si>
  <si>
    <t>TXN170</t>
  </si>
  <si>
    <t>C170-Lakshmi-Kannur</t>
  </si>
  <si>
    <t>TXN171</t>
  </si>
  <si>
    <t>C171-Joel-Trivandrum</t>
  </si>
  <si>
    <t>TXN172</t>
  </si>
  <si>
    <t>C172-Akhil-Alappuzha</t>
  </si>
  <si>
    <t>TXN173</t>
  </si>
  <si>
    <t>C173-Priya-Malappuram</t>
  </si>
  <si>
    <t>TXN174</t>
  </si>
  <si>
    <t>C174-Amal-Malappuram</t>
  </si>
  <si>
    <t>TXN175</t>
  </si>
  <si>
    <t>C175-Priya-Kannur</t>
  </si>
  <si>
    <t>TXN176</t>
  </si>
  <si>
    <t>C176-Ravi-Malappuram</t>
  </si>
  <si>
    <t>TXN177</t>
  </si>
  <si>
    <t>C177-Adithya-Kochi</t>
  </si>
  <si>
    <t>TXN178</t>
  </si>
  <si>
    <t>C178-Sneha-Kochi</t>
  </si>
  <si>
    <t>TXN179</t>
  </si>
  <si>
    <t>C179-Akhil-Kochi</t>
  </si>
  <si>
    <t>TXN180</t>
  </si>
  <si>
    <t>C180-Lakshmi-Malappuram</t>
  </si>
  <si>
    <t>TXN181</t>
  </si>
  <si>
    <t>C181-Adithya-Trivandrum</t>
  </si>
  <si>
    <t>TXN182</t>
  </si>
  <si>
    <t>C182-Sanjay-Alappuzha</t>
  </si>
  <si>
    <t>TXN183</t>
  </si>
  <si>
    <t>C183-Arjun-Trivandrum</t>
  </si>
  <si>
    <t>TXN184</t>
  </si>
  <si>
    <t>C184-Farhan-Kollam</t>
  </si>
  <si>
    <t>TXN185</t>
  </si>
  <si>
    <t xml:space="preserve"> C185-Arjun-Kollam</t>
  </si>
  <si>
    <t>TXN186</t>
  </si>
  <si>
    <t>C186-Priya-Kochi</t>
  </si>
  <si>
    <t>TXN187</t>
  </si>
  <si>
    <t>C187-Ravi-Kannur</t>
  </si>
  <si>
    <t>TXN188</t>
  </si>
  <si>
    <t>C188-Rahul-Alappuzha</t>
  </si>
  <si>
    <t>TXN189</t>
  </si>
  <si>
    <t>C189-Fathima-Trivandrum</t>
  </si>
  <si>
    <t>TXN190</t>
  </si>
  <si>
    <t>C190-Lakshmi-Malappuram</t>
  </si>
  <si>
    <t>TXN191</t>
  </si>
  <si>
    <t>C191-Asha-Thrissur</t>
  </si>
  <si>
    <t>TXN192</t>
  </si>
  <si>
    <t>C192-Nikhil-Kozhikode</t>
  </si>
  <si>
    <t>TXN193</t>
  </si>
  <si>
    <t>C193-Sneha-Kozhikode</t>
  </si>
  <si>
    <t>TXN194</t>
  </si>
  <si>
    <t>C194-Adithya-Kozhikode</t>
  </si>
  <si>
    <t>TXN195</t>
  </si>
  <si>
    <t>C195-Asha-Alappuzha</t>
  </si>
  <si>
    <t>TXN196</t>
  </si>
  <si>
    <t>C196-Kiran-Alappuzha</t>
  </si>
  <si>
    <t>TXN197</t>
  </si>
  <si>
    <t>C197-Mohammed-Kollam</t>
  </si>
  <si>
    <t>TXN198</t>
  </si>
  <si>
    <t>C198-Mohammed-Trivandrum</t>
  </si>
  <si>
    <t>TXN199</t>
  </si>
  <si>
    <t>C199-Asha-Kannur</t>
  </si>
  <si>
    <t>TXN200</t>
  </si>
  <si>
    <t>C200-Lakshmi-Trivandrum</t>
  </si>
  <si>
    <t>TXN201</t>
  </si>
  <si>
    <t>C201-Divya-Alappuzha</t>
  </si>
  <si>
    <t>TXN202</t>
  </si>
  <si>
    <t>C202-Sneha-Kollam</t>
  </si>
  <si>
    <t>TXN203</t>
  </si>
  <si>
    <t>C203-Mohammed-Malappuram</t>
  </si>
  <si>
    <t>TXN204</t>
  </si>
  <si>
    <t>C204-Joel-Kozhikode</t>
  </si>
  <si>
    <t>TXN205</t>
  </si>
  <si>
    <t>C205-Fathima-Thrissur</t>
  </si>
  <si>
    <t>TXN206</t>
  </si>
  <si>
    <t>C206-Vishnu-Malappuram</t>
  </si>
  <si>
    <t>TXN207</t>
  </si>
  <si>
    <t>C207-Meera-Malappuram</t>
  </si>
  <si>
    <t>TXN208</t>
  </si>
  <si>
    <t>C208-Kiran-Kannur</t>
  </si>
  <si>
    <t>TXN209</t>
  </si>
  <si>
    <t>C209-Meera-Kochi</t>
  </si>
  <si>
    <t>TXN210</t>
  </si>
  <si>
    <t>C210-Neha-Kozhikode</t>
  </si>
  <si>
    <t>TXN211</t>
  </si>
  <si>
    <t>C211-Farhan-Kannur</t>
  </si>
  <si>
    <t>TXN212</t>
  </si>
  <si>
    <t>C212-Ravi-Kannur</t>
  </si>
  <si>
    <t>TXN213</t>
  </si>
  <si>
    <t>C213-Lakshmi-Alappuzha</t>
  </si>
  <si>
    <t>TXN214</t>
  </si>
  <si>
    <t>C214-Arjun-Kozhikode</t>
  </si>
  <si>
    <t>TXN215</t>
  </si>
  <si>
    <t>C215-Priya-Trivandrum</t>
  </si>
  <si>
    <t>TXN216</t>
  </si>
  <si>
    <t>C216-Meera-Kozhikode</t>
  </si>
  <si>
    <t>TXN217</t>
  </si>
  <si>
    <t>C217-Rahul-Thrissur</t>
  </si>
  <si>
    <t>TXN218</t>
  </si>
  <si>
    <t>C218-Mohammed-Malappuram</t>
  </si>
  <si>
    <t>TXN219</t>
  </si>
  <si>
    <t>C219-Akhil-Kochi</t>
  </si>
  <si>
    <t>TXN220</t>
  </si>
  <si>
    <t>C220-Adithya-Kochi</t>
  </si>
  <si>
    <t>TXN221</t>
  </si>
  <si>
    <t>C221-Joel-Thrissur</t>
  </si>
  <si>
    <t>TXN222</t>
  </si>
  <si>
    <t xml:space="preserve"> C222-Divya-Thrissur</t>
  </si>
  <si>
    <t>TXN223</t>
  </si>
  <si>
    <t>C223-Asha-Kannur</t>
  </si>
  <si>
    <t>TXN224</t>
  </si>
  <si>
    <t>C224-Asha-Thrissur</t>
  </si>
  <si>
    <t>TXN225</t>
  </si>
  <si>
    <t>C225-Meera-Kochi</t>
  </si>
  <si>
    <t>TXN226</t>
  </si>
  <si>
    <t>C226-Sanjay-Kochi</t>
  </si>
  <si>
    <t>TXN227</t>
  </si>
  <si>
    <t>C227-Joel-Malappuram</t>
  </si>
  <si>
    <t>TXN228</t>
  </si>
  <si>
    <t>C228-Farhan-Alappuzha</t>
  </si>
  <si>
    <t>TXN229</t>
  </si>
  <si>
    <t>C229-Anjali-Kollam</t>
  </si>
  <si>
    <t>TXN230</t>
  </si>
  <si>
    <t>C230-Fathima-Thrissur</t>
  </si>
  <si>
    <t>TXN231</t>
  </si>
  <si>
    <t>C231-Sneha-Kochi</t>
  </si>
  <si>
    <t>TXN232</t>
  </si>
  <si>
    <t>C232-Joel-Alappuzha</t>
  </si>
  <si>
    <t>TXN233</t>
  </si>
  <si>
    <t>C233-Meera-Kollam</t>
  </si>
  <si>
    <t>TXN234</t>
  </si>
  <si>
    <t>C234-Neha-Kollam</t>
  </si>
  <si>
    <t>TXN235</t>
  </si>
  <si>
    <t>C235-Lakshmi-Thrissur</t>
  </si>
  <si>
    <t>TXN236</t>
  </si>
  <si>
    <t>C236-Joel-Malappuram</t>
  </si>
  <si>
    <t>TXN237</t>
  </si>
  <si>
    <t>C237-Sneha-Kozhikode</t>
  </si>
  <si>
    <t>TXN238</t>
  </si>
  <si>
    <t>C238-Akhil-Trivandrum</t>
  </si>
  <si>
    <t>TXN239</t>
  </si>
  <si>
    <t>C239-Anjali-Kozhikode</t>
  </si>
  <si>
    <t>TXN240</t>
  </si>
  <si>
    <t>C240-Akhil-Malappuram</t>
  </si>
  <si>
    <t>TXN241</t>
  </si>
  <si>
    <t>C241-Rahul-Kozhikode</t>
  </si>
  <si>
    <t>TXN242</t>
  </si>
  <si>
    <t>C242-Sanjay-Alappuzha</t>
  </si>
  <si>
    <t>TXN243</t>
  </si>
  <si>
    <t>C243-Priya-Kozhikode</t>
  </si>
  <si>
    <t>TXN244</t>
  </si>
  <si>
    <t>C244-Farhan-Malappuram</t>
  </si>
  <si>
    <t>TXN245</t>
  </si>
  <si>
    <t>C245-Neha-Kozhikode</t>
  </si>
  <si>
    <t>TXN246</t>
  </si>
  <si>
    <t>C246-Divya-Alappuzha</t>
  </si>
  <si>
    <t>TXN247</t>
  </si>
  <si>
    <t>C247-Ravi-Kozhikode</t>
  </si>
  <si>
    <t>TXN248</t>
  </si>
  <si>
    <t>C248-Amal-Thrissur</t>
  </si>
  <si>
    <t>TXN249</t>
  </si>
  <si>
    <t>C249-Lakshmi-Malappuram</t>
  </si>
  <si>
    <t>TXN250</t>
  </si>
  <si>
    <t>C250-Amal-Kochi</t>
  </si>
  <si>
    <t>Product_ID</t>
  </si>
  <si>
    <t>Product_Name</t>
  </si>
  <si>
    <t>Category</t>
  </si>
  <si>
    <t>Brand</t>
  </si>
  <si>
    <t>GST_Rate</t>
  </si>
  <si>
    <t>P101</t>
  </si>
  <si>
    <t>Laptop</t>
  </si>
  <si>
    <t>Electronics</t>
  </si>
  <si>
    <t>Dell</t>
  </si>
  <si>
    <t>P102</t>
  </si>
  <si>
    <t>Monitor</t>
  </si>
  <si>
    <t>LG</t>
  </si>
  <si>
    <t>P103</t>
  </si>
  <si>
    <t>Keyboard</t>
  </si>
  <si>
    <t>Accessories</t>
  </si>
  <si>
    <t>Logitech</t>
  </si>
  <si>
    <t>P104</t>
  </si>
  <si>
    <t>Mouse</t>
  </si>
  <si>
    <t>HP</t>
  </si>
  <si>
    <t>P105</t>
  </si>
  <si>
    <t>Headphones</t>
  </si>
  <si>
    <t>Sony</t>
  </si>
  <si>
    <t>P106</t>
  </si>
  <si>
    <t>Printer</t>
  </si>
  <si>
    <t>Canon</t>
  </si>
  <si>
    <t>P107</t>
  </si>
  <si>
    <t>Webcam</t>
  </si>
  <si>
    <t>P108</t>
  </si>
  <si>
    <t>SSD</t>
  </si>
  <si>
    <t>Storage</t>
  </si>
  <si>
    <t>Samsung</t>
  </si>
  <si>
    <t>Customer_City</t>
  </si>
  <si>
    <t>Customer_Name</t>
  </si>
  <si>
    <t>Customer_Id</t>
  </si>
  <si>
    <t>Gst_Rate</t>
  </si>
  <si>
    <t>Sales_Value</t>
  </si>
  <si>
    <t>GST_Amount</t>
  </si>
  <si>
    <t>Total_Value</t>
  </si>
  <si>
    <t>TOTAL QUANTITY SOLD=</t>
  </si>
  <si>
    <t>TOTAL SALES VALUE=</t>
  </si>
  <si>
    <t>AVERAGE TRANSATION VALUE=</t>
  </si>
  <si>
    <t>MININUM TRANSATION VALUE=</t>
  </si>
  <si>
    <t>MAXIMUM TRANSATION VALUE=</t>
  </si>
  <si>
    <t>LOCATION</t>
  </si>
  <si>
    <t>TRANSACTION</t>
  </si>
  <si>
    <t>KANNUR</t>
  </si>
  <si>
    <t>KOLLAM</t>
  </si>
  <si>
    <t>ALAPPUZHA</t>
  </si>
  <si>
    <t>KOCHI</t>
  </si>
  <si>
    <t>KOZHIKODE</t>
  </si>
  <si>
    <t>MALAPPURAM</t>
  </si>
  <si>
    <t>HIGHEST SELLING LOCATION=</t>
  </si>
  <si>
    <t>TOTAL SALES</t>
  </si>
  <si>
    <t>THRISSUR</t>
  </si>
  <si>
    <t>CREDIT CARD</t>
  </si>
  <si>
    <t>CASH</t>
  </si>
  <si>
    <t>DEBIT CARD</t>
  </si>
  <si>
    <t>TRIVANDRUM</t>
  </si>
  <si>
    <t>SALES VALIUE</t>
  </si>
  <si>
    <t>RAVI</t>
  </si>
  <si>
    <t>ANU</t>
  </si>
  <si>
    <t>SURESH</t>
  </si>
  <si>
    <t>ASHA</t>
  </si>
  <si>
    <t>MEERA</t>
  </si>
  <si>
    <t>CATEGORY</t>
  </si>
  <si>
    <t>SALES VALUE</t>
  </si>
  <si>
    <t>ELECTRONICS</t>
  </si>
  <si>
    <t>ACCESSORIES</t>
  </si>
  <si>
    <t>STORAGE</t>
  </si>
  <si>
    <t>CATEGORY GENERATED HIGHEST SALES=</t>
  </si>
  <si>
    <t>RESULT</t>
  </si>
  <si>
    <t>FUNCTION USED</t>
  </si>
  <si>
    <t>STATEMENT</t>
  </si>
  <si>
    <t>LEFT()</t>
  </si>
  <si>
    <t>MID()</t>
  </si>
  <si>
    <t>GIVE THE NAME OF 1ST CUSTOMER</t>
  </si>
  <si>
    <t>GIVE THE ID OF 1ST CUSTOMER</t>
  </si>
  <si>
    <t>1ST CUSTOMER NAME TO LOWER CASE</t>
  </si>
  <si>
    <t>LOWER()</t>
  </si>
  <si>
    <t>1ST CUSTOMER NAME TO UPPER CASE</t>
  </si>
  <si>
    <t>UPPER()</t>
  </si>
  <si>
    <t>DISPLAY CATOGORY WITH PRODUCT NAME</t>
  </si>
  <si>
    <t>CONCAT()</t>
  </si>
  <si>
    <t>TEXTSPLIT()</t>
  </si>
  <si>
    <t>SPLIT COSTUMER INFO</t>
  </si>
  <si>
    <t>LENGTH OF NAME OF 1ST CUSTOMER</t>
  </si>
  <si>
    <t>LEN()</t>
  </si>
  <si>
    <t>PRODUCT</t>
  </si>
  <si>
    <t>Which product generated the highest sales value?</t>
  </si>
  <si>
    <t>Which salesperson generated the highest sales?</t>
  </si>
  <si>
    <t>Which location generated the highest sales?</t>
  </si>
  <si>
    <t>Which product category contributed the most sales?</t>
  </si>
  <si>
    <t>Which payment method was used most frequently?</t>
  </si>
  <si>
    <t>What is the average value of a transaction?</t>
  </si>
  <si>
    <t>What observations can you make about the sales data?</t>
  </si>
  <si>
    <t>QUESTIONS</t>
  </si>
  <si>
    <t>ANSWERS</t>
  </si>
  <si>
    <t>LAPTOP</t>
  </si>
  <si>
    <t>Thrissur generating the highest sales despite Kollam recording the highest number of transactions.</t>
  </si>
  <si>
    <r>
      <t>Malappuram had the lowest number of transactions</t>
    </r>
    <r>
      <rPr>
        <sz val="11"/>
        <color theme="1"/>
        <rFont val="Calibri"/>
        <family val="2"/>
        <scheme val="minor"/>
      </rPr>
      <t xml:space="preserve"> and Alappuzha has the lowest sales values.</t>
    </r>
  </si>
  <si>
    <t>TOP SALESPERSON=</t>
  </si>
  <si>
    <t>TOP LOCATION=</t>
  </si>
  <si>
    <t>TOP PRODUCT=</t>
  </si>
  <si>
    <t>TOP CATEGORY=</t>
  </si>
  <si>
    <t>MOST USED PAYMENT=</t>
  </si>
  <si>
    <t>HIGHEST TRANSATION VALUE=</t>
  </si>
  <si>
    <t>SUMMARY</t>
  </si>
  <si>
    <t>TOTAL TRANSACTIONS=</t>
  </si>
  <si>
    <t>MINIMUM TRANSACTION VALUE=</t>
  </si>
  <si>
    <t>SALESPERSON</t>
  </si>
  <si>
    <t>PAYMENT METHORDS</t>
  </si>
  <si>
    <t>TOTAL  TRANSACTIONS=</t>
  </si>
  <si>
    <t>SALESPERSON GENERATED HIGHEST SALES=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</si>
</sst>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4" formatCode="&quot;₹&quot;#,##0.00"/>
    <numFmt numFmtId="165" formatCode="dd/mm/yyyy;@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color rgb="FFC00000"/>
      <name val="Calibri"/>
      <family val="2"/>
      <scheme val="minor"/>
    </font>
    <font>
      <b/>
      <sz val="10"/>
      <color rgb="FFC00000"/>
      <name val="Calibri (Body)"/>
    </font>
    <font>
      <b/>
      <sz val="10"/>
      <color rgb="FFC00000"/>
      <name val="Calibri"/>
      <family val="2"/>
      <scheme val="minor"/>
    </font>
    <font>
      <b/>
      <sz val="10"/>
      <color theme="1"/>
      <name val="Arial Unicode MS"/>
      <family val="2"/>
    </font>
    <font>
      <b/>
      <sz val="10"/>
      <color rgb="FFC00000"/>
      <name val="Arial Unicode MS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rgb="FFC00000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5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0" fillId="3" borderId="0" xfId="0" applyFill="1"/>
    <xf numFmtId="0" fontId="10" fillId="0" borderId="0" xfId="0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left"/>
    </xf>
    <xf numFmtId="0" fontId="10" fillId="4" borderId="0" xfId="0" applyFont="1" applyFill="1"/>
    <xf numFmtId="1" fontId="11" fillId="5" borderId="0" xfId="0" applyNumberFormat="1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11" fillId="7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165" fontId="12" fillId="2" borderId="1" xfId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1"/>
  <sheetViews>
    <sheetView tabSelected="1" zoomScale="90" workbookViewId="0">
      <pane ySplit="1" topLeftCell="A2" activePane="bottomLeft" state="frozen"/>
      <selection pane="bottomLeft" activeCell="V45" sqref="V45"/>
    </sheetView>
  </sheetViews>
  <sheetFormatPr baseColWidth="10" defaultColWidth="8.83203125" defaultRowHeight="15" x14ac:dyDescent="0.2"/>
  <cols>
    <col min="1" max="1" width="17" customWidth="1"/>
    <col min="2" max="2" width="19.6640625" style="3" customWidth="1"/>
    <col min="3" max="3" width="26" style="21" customWidth="1"/>
    <col min="4" max="4" width="26" style="5" customWidth="1"/>
    <col min="5" max="5" width="20.33203125" style="21" customWidth="1"/>
    <col min="6" max="6" width="20" style="21" customWidth="1"/>
    <col min="7" max="7" width="18" style="21" customWidth="1"/>
    <col min="8" max="8" width="18" customWidth="1"/>
    <col min="9" max="9" width="18.1640625" style="21" customWidth="1"/>
    <col min="10" max="10" width="13.5" style="21" customWidth="1"/>
    <col min="11" max="11" width="13" style="4" customWidth="1"/>
    <col min="12" max="12" width="17.33203125" style="31" customWidth="1"/>
    <col min="13" max="13" width="19.33203125" style="21" customWidth="1"/>
    <col min="14" max="14" width="17.1640625" style="30" customWidth="1"/>
    <col min="15" max="15" width="13.83203125" style="21" customWidth="1"/>
    <col min="16" max="16" width="13" style="21" customWidth="1"/>
    <col min="17" max="17" width="13.1640625" customWidth="1"/>
    <col min="18" max="18" width="16" customWidth="1"/>
    <col min="19" max="19" width="16.5" customWidth="1"/>
    <col min="20" max="20" width="16.6640625" customWidth="1"/>
    <col min="22" max="22" width="33.83203125" style="8" customWidth="1"/>
    <col min="23" max="23" width="20.1640625" style="10" customWidth="1"/>
    <col min="24" max="24" width="18.5" style="6" customWidth="1"/>
    <col min="26" max="26" width="10" customWidth="1"/>
    <col min="27" max="27" width="44.83203125" style="8" customWidth="1"/>
    <col min="28" max="28" width="84" style="6" customWidth="1"/>
  </cols>
  <sheetData>
    <row r="1" spans="1:28" s="37" customFormat="1" ht="14" x14ac:dyDescent="0.15">
      <c r="A1" s="32" t="s">
        <v>0</v>
      </c>
      <c r="B1" s="33" t="s">
        <v>1</v>
      </c>
      <c r="C1" s="32" t="s">
        <v>2</v>
      </c>
      <c r="D1" s="7" t="s">
        <v>570</v>
      </c>
      <c r="E1" s="32" t="s">
        <v>569</v>
      </c>
      <c r="F1" s="32" t="s">
        <v>568</v>
      </c>
      <c r="G1" s="32" t="s">
        <v>3</v>
      </c>
      <c r="H1" s="32" t="s">
        <v>537</v>
      </c>
      <c r="I1" s="32" t="s">
        <v>538</v>
      </c>
      <c r="J1" s="32" t="s">
        <v>4</v>
      </c>
      <c r="K1" s="34" t="s">
        <v>5</v>
      </c>
      <c r="L1" s="35" t="s">
        <v>6</v>
      </c>
      <c r="M1" s="32" t="s">
        <v>7</v>
      </c>
      <c r="N1" s="32" t="s">
        <v>8</v>
      </c>
      <c r="O1" s="36" t="s">
        <v>539</v>
      </c>
      <c r="P1" s="36" t="s">
        <v>540</v>
      </c>
      <c r="Q1" s="36" t="s">
        <v>571</v>
      </c>
      <c r="R1" s="36" t="s">
        <v>572</v>
      </c>
      <c r="S1" s="36" t="s">
        <v>573</v>
      </c>
      <c r="T1" s="36" t="s">
        <v>574</v>
      </c>
      <c r="V1" s="38"/>
      <c r="W1" s="39"/>
      <c r="X1" s="40"/>
      <c r="AA1" s="38"/>
      <c r="AB1" s="40"/>
    </row>
    <row r="2" spans="1:28" x14ac:dyDescent="0.2">
      <c r="A2" s="5" t="s">
        <v>9</v>
      </c>
      <c r="B2" s="3">
        <v>46212</v>
      </c>
      <c r="C2" s="21" t="s">
        <v>10</v>
      </c>
      <c r="D2" s="5" t="str" cm="1">
        <f t="array" ref="D2:F2">_xlfn.TEXTSPLIT(TRIM(C2),"-")</f>
        <v>C001</v>
      </c>
      <c r="E2" s="21" t="str">
        <v>Nandana</v>
      </c>
      <c r="F2" s="21" t="str">
        <v>Trivandrum</v>
      </c>
      <c r="G2" s="21" t="s">
        <v>11</v>
      </c>
      <c r="H2" s="5" t="str" cm="1">
        <f t="array" ref="H2:I2">_xlfn.TEXTSPLIT(TRIM(G2),"-")</f>
        <v>P101</v>
      </c>
      <c r="I2" s="21" t="str">
        <v>Laptop</v>
      </c>
      <c r="J2" s="21" t="s">
        <v>12</v>
      </c>
      <c r="K2" s="4">
        <v>12</v>
      </c>
      <c r="L2" s="31">
        <v>55000</v>
      </c>
      <c r="M2" s="21" t="s">
        <v>13</v>
      </c>
      <c r="N2" s="30" t="s">
        <v>14</v>
      </c>
      <c r="O2" s="21" t="str">
        <f>VLOOKUP(H2,Product_Master!$A:$E,3,FALSE)</f>
        <v>Electronics</v>
      </c>
      <c r="P2" s="21" t="str">
        <f>VLOOKUP(H2,Product_Master!$A:$E,4,FALSE)</f>
        <v>Dell</v>
      </c>
      <c r="Q2" s="5">
        <f>VLOOKUP(H2,Product_Master!$A:$E,5,FALSE)</f>
        <v>0.18</v>
      </c>
      <c r="R2" s="2">
        <f>K2*L2</f>
        <v>660000</v>
      </c>
      <c r="S2" s="2">
        <f>R2*Q2</f>
        <v>118800</v>
      </c>
      <c r="T2" s="2">
        <f>R2+S2</f>
        <v>778800</v>
      </c>
    </row>
    <row r="3" spans="1:28" x14ac:dyDescent="0.2">
      <c r="A3" s="5" t="s">
        <v>15</v>
      </c>
      <c r="B3" s="3">
        <v>46217</v>
      </c>
      <c r="C3" s="21" t="s">
        <v>16</v>
      </c>
      <c r="D3" s="5" t="str" cm="1">
        <f t="array" ref="D3:F3">_xlfn.TEXTSPLIT(TRIM(C3),"-")</f>
        <v>C002</v>
      </c>
      <c r="E3" s="21" t="str">
        <v>Joel</v>
      </c>
      <c r="F3" s="21" t="str">
        <v>Trivandrum</v>
      </c>
      <c r="G3" s="21" t="s">
        <v>17</v>
      </c>
      <c r="H3" s="5" t="str" cm="1">
        <f t="array" ref="H3:I3">_xlfn.TEXTSPLIT(TRIM(G3),"-")</f>
        <v>P102</v>
      </c>
      <c r="I3" s="21" t="str">
        <v>Monitor</v>
      </c>
      <c r="J3" s="21" t="s">
        <v>12</v>
      </c>
      <c r="K3" s="4">
        <v>10</v>
      </c>
      <c r="L3" s="31">
        <v>15000</v>
      </c>
      <c r="M3" s="21" t="s">
        <v>18</v>
      </c>
      <c r="N3" s="30" t="s">
        <v>19</v>
      </c>
      <c r="O3" s="21" t="str">
        <f>VLOOKUP(H3,Product_Master!$A:$E,3,FALSE)</f>
        <v>Electronics</v>
      </c>
      <c r="P3" s="21" t="str">
        <f>VLOOKUP(H3,Product_Master!$A:$E,4,FALSE)</f>
        <v>LG</v>
      </c>
      <c r="Q3" s="5">
        <f>VLOOKUP(H3,Product_Master!$A:$E,5,FALSE)</f>
        <v>0.18</v>
      </c>
      <c r="R3" s="2">
        <f t="shared" ref="R3:R66" si="0">K3*L3</f>
        <v>150000</v>
      </c>
      <c r="S3" s="2">
        <f t="shared" ref="S3:S66" si="1">R3*Q3</f>
        <v>27000</v>
      </c>
      <c r="T3" s="2">
        <f t="shared" ref="T3:T66" si="2">R3+S3</f>
        <v>177000</v>
      </c>
      <c r="AA3" s="12" t="s">
        <v>632</v>
      </c>
      <c r="AB3" s="14" t="s">
        <v>633</v>
      </c>
    </row>
    <row r="4" spans="1:28" x14ac:dyDescent="0.2">
      <c r="A4" s="5" t="s">
        <v>20</v>
      </c>
      <c r="B4" s="3">
        <v>46210</v>
      </c>
      <c r="C4" s="21" t="s">
        <v>21</v>
      </c>
      <c r="D4" s="5" t="str" cm="1">
        <f t="array" ref="D4:F4">_xlfn.TEXTSPLIT(TRIM(C4),"-")</f>
        <v>C003</v>
      </c>
      <c r="E4" s="21" t="str">
        <v>Arjun</v>
      </c>
      <c r="F4" s="21" t="str">
        <v>Kannur</v>
      </c>
      <c r="G4" s="21" t="s">
        <v>11</v>
      </c>
      <c r="H4" s="5" t="str" cm="1">
        <f t="array" ref="H4:I4">_xlfn.TEXTSPLIT(TRIM(G4),"-")</f>
        <v>P101</v>
      </c>
      <c r="I4" s="21" t="str">
        <v>Laptop</v>
      </c>
      <c r="J4" s="21" t="s">
        <v>22</v>
      </c>
      <c r="K4" s="4">
        <v>9</v>
      </c>
      <c r="L4" s="31">
        <v>55000</v>
      </c>
      <c r="M4" s="21" t="s">
        <v>23</v>
      </c>
      <c r="N4" s="30" t="s">
        <v>14</v>
      </c>
      <c r="O4" s="21" t="str">
        <f>VLOOKUP(H4,Product_Master!$A:$E,3,FALSE)</f>
        <v>Electronics</v>
      </c>
      <c r="P4" s="21" t="str">
        <f>VLOOKUP(H4,Product_Master!$A:$E,4,FALSE)</f>
        <v>Dell</v>
      </c>
      <c r="Q4" s="5">
        <f>VLOOKUP(H4,Product_Master!$A:$E,5,FALSE)</f>
        <v>0.18</v>
      </c>
      <c r="R4" s="2">
        <f t="shared" si="0"/>
        <v>495000</v>
      </c>
      <c r="S4" s="2">
        <f t="shared" si="1"/>
        <v>89100</v>
      </c>
      <c r="T4" s="2">
        <f t="shared" si="2"/>
        <v>584100</v>
      </c>
      <c r="V4" s="8" t="s">
        <v>648</v>
      </c>
      <c r="W4" s="10">
        <f>COUNTA(A2:A251)</f>
        <v>250</v>
      </c>
    </row>
    <row r="5" spans="1:28" x14ac:dyDescent="0.2">
      <c r="A5" s="5" t="s">
        <v>24</v>
      </c>
      <c r="B5" s="3">
        <v>46226</v>
      </c>
      <c r="C5" s="21" t="s">
        <v>25</v>
      </c>
      <c r="D5" s="5" t="str" cm="1">
        <f t="array" ref="D5:F5">_xlfn.TEXTSPLIT(TRIM(C5),"-")</f>
        <v>C004</v>
      </c>
      <c r="E5" s="21" t="str">
        <v>Lakshmi</v>
      </c>
      <c r="F5" s="21" t="str">
        <v>Kollam</v>
      </c>
      <c r="G5" s="21" t="s">
        <v>11</v>
      </c>
      <c r="H5" s="5" t="str" cm="1">
        <f t="array" ref="H5:I5">_xlfn.TEXTSPLIT(TRIM(G5),"-")</f>
        <v>P101</v>
      </c>
      <c r="I5" s="21" t="str">
        <v>Laptop</v>
      </c>
      <c r="J5" s="21" t="s">
        <v>26</v>
      </c>
      <c r="K5" s="4">
        <v>3</v>
      </c>
      <c r="L5" s="31">
        <v>55000</v>
      </c>
      <c r="M5" s="21" t="s">
        <v>27</v>
      </c>
      <c r="N5" s="30" t="s">
        <v>28</v>
      </c>
      <c r="O5" s="21" t="str">
        <f>VLOOKUP(H5,Product_Master!$A:$E,3,FALSE)</f>
        <v>Electronics</v>
      </c>
      <c r="P5" s="21" t="str">
        <f>VLOOKUP(H5,Product_Master!$A:$E,4,FALSE)</f>
        <v>Dell</v>
      </c>
      <c r="Q5" s="5">
        <f>VLOOKUP(H5,Product_Master!$A:$E,5,FALSE)</f>
        <v>0.18</v>
      </c>
      <c r="R5" s="2">
        <f t="shared" si="0"/>
        <v>165000</v>
      </c>
      <c r="S5" s="2">
        <f t="shared" si="1"/>
        <v>29700</v>
      </c>
      <c r="T5" s="2">
        <f t="shared" si="2"/>
        <v>194700</v>
      </c>
      <c r="X5" s="9"/>
      <c r="AA5" s="8" t="s">
        <v>625</v>
      </c>
      <c r="AB5" s="6" t="s">
        <v>634</v>
      </c>
    </row>
    <row r="6" spans="1:28" x14ac:dyDescent="0.2">
      <c r="A6" s="5" t="s">
        <v>29</v>
      </c>
      <c r="B6" s="3">
        <v>46206</v>
      </c>
      <c r="C6" s="21" t="s">
        <v>30</v>
      </c>
      <c r="D6" s="5" t="str" cm="1">
        <f t="array" ref="D6:F6">_xlfn.TEXTSPLIT(TRIM(C6),"-")</f>
        <v>C005</v>
      </c>
      <c r="E6" s="21" t="str">
        <v>Akhil</v>
      </c>
      <c r="F6" s="21" t="str">
        <v>Kannur</v>
      </c>
      <c r="G6" s="21" t="s">
        <v>31</v>
      </c>
      <c r="H6" s="5" t="str" cm="1">
        <f t="array" ref="H6:I6">_xlfn.TEXTSPLIT(TRIM(G6),"-")</f>
        <v>P106</v>
      </c>
      <c r="I6" s="21" t="str">
        <v>Printer</v>
      </c>
      <c r="J6" s="21" t="s">
        <v>22</v>
      </c>
      <c r="K6" s="4">
        <v>2</v>
      </c>
      <c r="L6" s="31">
        <v>12500</v>
      </c>
      <c r="M6" s="21" t="s">
        <v>18</v>
      </c>
      <c r="N6" s="30" t="s">
        <v>28</v>
      </c>
      <c r="O6" s="21" t="str">
        <f>VLOOKUP(H6,Product_Master!$A:$E,3,FALSE)</f>
        <v>Electronics</v>
      </c>
      <c r="P6" s="21" t="str">
        <f>VLOOKUP(H6,Product_Master!$A:$E,4,FALSE)</f>
        <v>Canon</v>
      </c>
      <c r="Q6" s="5">
        <f>VLOOKUP(H6,Product_Master!$A:$E,5,FALSE)</f>
        <v>0.18</v>
      </c>
      <c r="R6" s="2">
        <f t="shared" si="0"/>
        <v>25000</v>
      </c>
      <c r="S6" s="2">
        <f t="shared" si="1"/>
        <v>4500</v>
      </c>
      <c r="T6" s="2">
        <f t="shared" si="2"/>
        <v>29500</v>
      </c>
      <c r="V6" s="8" t="s">
        <v>575</v>
      </c>
      <c r="W6" s="10">
        <f>SUM(K2:K251)</f>
        <v>1632</v>
      </c>
    </row>
    <row r="7" spans="1:28" x14ac:dyDescent="0.2">
      <c r="A7" s="5" t="s">
        <v>32</v>
      </c>
      <c r="B7" s="3">
        <v>46218</v>
      </c>
      <c r="C7" s="21" t="s">
        <v>33</v>
      </c>
      <c r="D7" s="5" t="str" cm="1">
        <f t="array" ref="D7:F7">_xlfn.TEXTSPLIT(TRIM(C7),"-")</f>
        <v>C006</v>
      </c>
      <c r="E7" s="21" t="str">
        <v>Sneha</v>
      </c>
      <c r="F7" s="21" t="str">
        <v>Kollam</v>
      </c>
      <c r="G7" s="21" t="s">
        <v>11</v>
      </c>
      <c r="H7" s="5" t="str" cm="1">
        <f t="array" ref="H7:I7">_xlfn.TEXTSPLIT(TRIM(G7),"-")</f>
        <v>P101</v>
      </c>
      <c r="I7" s="21" t="str">
        <v>Laptop</v>
      </c>
      <c r="J7" s="21" t="s">
        <v>26</v>
      </c>
      <c r="K7" s="4">
        <v>12</v>
      </c>
      <c r="L7" s="31">
        <v>55000</v>
      </c>
      <c r="M7" s="21" t="s">
        <v>18</v>
      </c>
      <c r="N7" s="30" t="s">
        <v>34</v>
      </c>
      <c r="O7" s="21" t="str">
        <f>VLOOKUP(H7,Product_Master!$A:$E,3,FALSE)</f>
        <v>Electronics</v>
      </c>
      <c r="P7" s="21" t="str">
        <f>VLOOKUP(H7,Product_Master!$A:$E,4,FALSE)</f>
        <v>Dell</v>
      </c>
      <c r="Q7" s="5">
        <f>VLOOKUP(H7,Product_Master!$A:$E,5,FALSE)</f>
        <v>0.18</v>
      </c>
      <c r="R7" s="2">
        <f t="shared" si="0"/>
        <v>660000</v>
      </c>
      <c r="S7" s="2">
        <f t="shared" si="1"/>
        <v>118800</v>
      </c>
      <c r="T7" s="2">
        <f t="shared" si="2"/>
        <v>778800</v>
      </c>
      <c r="AA7" s="8" t="s">
        <v>626</v>
      </c>
      <c r="AB7" s="6" t="s">
        <v>598</v>
      </c>
    </row>
    <row r="8" spans="1:28" x14ac:dyDescent="0.2">
      <c r="A8" s="5" t="s">
        <v>35</v>
      </c>
      <c r="B8" s="3">
        <v>46210</v>
      </c>
      <c r="C8" s="21" t="s">
        <v>36</v>
      </c>
      <c r="D8" s="5" t="str" cm="1">
        <f t="array" ref="D8:F8">_xlfn.TEXTSPLIT(TRIM(C8),"-")</f>
        <v>C007</v>
      </c>
      <c r="E8" s="21" t="str">
        <v>Mohammed</v>
      </c>
      <c r="F8" s="21" t="str">
        <v>Kollam</v>
      </c>
      <c r="G8" s="21" t="s">
        <v>31</v>
      </c>
      <c r="H8" s="5" t="str" cm="1">
        <f t="array" ref="H8:I8">_xlfn.TEXTSPLIT(TRIM(G8),"-")</f>
        <v>P106</v>
      </c>
      <c r="I8" s="21" t="str">
        <v>Printer</v>
      </c>
      <c r="J8" s="21" t="s">
        <v>26</v>
      </c>
      <c r="K8" s="4">
        <v>10</v>
      </c>
      <c r="L8" s="31">
        <v>12500</v>
      </c>
      <c r="M8" s="21" t="s">
        <v>18</v>
      </c>
      <c r="N8" s="30" t="s">
        <v>19</v>
      </c>
      <c r="O8" s="21" t="str">
        <f>VLOOKUP(H8,Product_Master!$A:$E,3,FALSE)</f>
        <v>Electronics</v>
      </c>
      <c r="P8" s="21" t="str">
        <f>VLOOKUP(H8,Product_Master!$A:$E,4,FALSE)</f>
        <v>Canon</v>
      </c>
      <c r="Q8" s="5">
        <f>VLOOKUP(H8,Product_Master!$A:$E,5,FALSE)</f>
        <v>0.18</v>
      </c>
      <c r="R8" s="2">
        <f t="shared" si="0"/>
        <v>125000</v>
      </c>
      <c r="S8" s="2">
        <f t="shared" si="1"/>
        <v>22500</v>
      </c>
      <c r="T8" s="2">
        <f t="shared" si="2"/>
        <v>147500</v>
      </c>
      <c r="V8" s="8" t="s">
        <v>576</v>
      </c>
      <c r="W8" s="11">
        <f>SUM(R2:R251)</f>
        <v>20100550</v>
      </c>
    </row>
    <row r="9" spans="1:28" x14ac:dyDescent="0.2">
      <c r="A9" s="5" t="s">
        <v>37</v>
      </c>
      <c r="B9" s="3">
        <v>46231</v>
      </c>
      <c r="C9" s="21" t="s">
        <v>38</v>
      </c>
      <c r="D9" s="5" t="str" cm="1">
        <f t="array" ref="D9:F9">_xlfn.TEXTSPLIT(TRIM(C9),"-")</f>
        <v>C008</v>
      </c>
      <c r="E9" s="21" t="str">
        <v>Farhan</v>
      </c>
      <c r="F9" s="21" t="str">
        <v>Kannur</v>
      </c>
      <c r="G9" s="21" t="s">
        <v>39</v>
      </c>
      <c r="H9" s="5" t="str" cm="1">
        <f t="array" ref="H9:I9">_xlfn.TEXTSPLIT(TRIM(G9),"-")</f>
        <v>P105</v>
      </c>
      <c r="I9" s="21" t="str">
        <v>Headphones</v>
      </c>
      <c r="J9" s="21" t="s">
        <v>22</v>
      </c>
      <c r="K9" s="4">
        <v>2</v>
      </c>
      <c r="L9" s="31">
        <v>2500</v>
      </c>
      <c r="M9" s="21" t="s">
        <v>18</v>
      </c>
      <c r="N9" s="30" t="s">
        <v>34</v>
      </c>
      <c r="O9" s="21" t="str">
        <f>VLOOKUP(H9,Product_Master!$A:$E,3,FALSE)</f>
        <v>Accessories</v>
      </c>
      <c r="P9" s="21" t="str">
        <f>VLOOKUP(H9,Product_Master!$A:$E,4,FALSE)</f>
        <v>Sony</v>
      </c>
      <c r="Q9" s="5">
        <f>VLOOKUP(H9,Product_Master!$A:$E,5,FALSE)</f>
        <v>0.18</v>
      </c>
      <c r="R9" s="2">
        <f t="shared" si="0"/>
        <v>5000</v>
      </c>
      <c r="S9" s="2">
        <f t="shared" si="1"/>
        <v>900</v>
      </c>
      <c r="T9" s="2">
        <f t="shared" si="2"/>
        <v>5900</v>
      </c>
      <c r="AA9" s="8" t="s">
        <v>627</v>
      </c>
      <c r="AB9" s="6" t="s">
        <v>590</v>
      </c>
    </row>
    <row r="10" spans="1:28" x14ac:dyDescent="0.2">
      <c r="A10" s="5" t="s">
        <v>40</v>
      </c>
      <c r="B10" s="3">
        <v>46215</v>
      </c>
      <c r="C10" s="21" t="s">
        <v>41</v>
      </c>
      <c r="D10" s="5" t="str" cm="1">
        <f t="array" ref="D10:F10">_xlfn.TEXTSPLIT(TRIM(C10),"-")</f>
        <v>C009</v>
      </c>
      <c r="E10" s="21" t="str">
        <v>Sanjay</v>
      </c>
      <c r="F10" s="21" t="str">
        <v>Alappuzha</v>
      </c>
      <c r="G10" s="21" t="s">
        <v>31</v>
      </c>
      <c r="H10" s="5" t="str" cm="1">
        <f t="array" ref="H10:I10">_xlfn.TEXTSPLIT(TRIM(G10),"-")</f>
        <v>P106</v>
      </c>
      <c r="I10" s="21" t="str">
        <v>Printer</v>
      </c>
      <c r="J10" s="21" t="s">
        <v>42</v>
      </c>
      <c r="K10" s="4">
        <v>3</v>
      </c>
      <c r="L10" s="31">
        <v>12500</v>
      </c>
      <c r="M10" s="21" t="s">
        <v>13</v>
      </c>
      <c r="N10" s="30" t="s">
        <v>28</v>
      </c>
      <c r="O10" s="21" t="str">
        <f>VLOOKUP(H10,Product_Master!$A:$E,3,FALSE)</f>
        <v>Electronics</v>
      </c>
      <c r="P10" s="21" t="str">
        <f>VLOOKUP(H10,Product_Master!$A:$E,4,FALSE)</f>
        <v>Canon</v>
      </c>
      <c r="Q10" s="5">
        <f>VLOOKUP(H10,Product_Master!$A:$E,5,FALSE)</f>
        <v>0.18</v>
      </c>
      <c r="R10" s="2">
        <f t="shared" si="0"/>
        <v>37500</v>
      </c>
      <c r="S10" s="2">
        <f t="shared" si="1"/>
        <v>6750</v>
      </c>
      <c r="T10" s="2">
        <f t="shared" si="2"/>
        <v>44250</v>
      </c>
      <c r="V10" s="8" t="s">
        <v>577</v>
      </c>
      <c r="W10" s="11">
        <f>AVERAGE(T2:T251)</f>
        <v>94874.596000000005</v>
      </c>
    </row>
    <row r="11" spans="1:28" x14ac:dyDescent="0.2">
      <c r="A11" s="5" t="s">
        <v>43</v>
      </c>
      <c r="B11" s="3">
        <v>46227</v>
      </c>
      <c r="C11" s="21" t="s">
        <v>44</v>
      </c>
      <c r="D11" s="5" t="str" cm="1">
        <f t="array" ref="D11:F11">_xlfn.TEXTSPLIT(TRIM(C11),"-")</f>
        <v>C010</v>
      </c>
      <c r="E11" s="21" t="str">
        <v>Swathi</v>
      </c>
      <c r="F11" s="21" t="str">
        <v>Trivandrum</v>
      </c>
      <c r="G11" s="21" t="s">
        <v>45</v>
      </c>
      <c r="H11" s="5" t="str" cm="1">
        <f t="array" ref="H11:I11">_xlfn.TEXTSPLIT(TRIM(G11),"-")</f>
        <v>P103</v>
      </c>
      <c r="I11" s="21" t="str">
        <v>Keyboard</v>
      </c>
      <c r="J11" s="21" t="s">
        <v>12</v>
      </c>
      <c r="K11" s="4">
        <v>9</v>
      </c>
      <c r="L11" s="31">
        <v>1200</v>
      </c>
      <c r="M11" s="21" t="s">
        <v>13</v>
      </c>
      <c r="N11" s="30" t="s">
        <v>34</v>
      </c>
      <c r="O11" s="21" t="str">
        <f>VLOOKUP(H11,Product_Master!$A:$E,3,FALSE)</f>
        <v>Accessories</v>
      </c>
      <c r="P11" s="21" t="str">
        <f>VLOOKUP(H11,Product_Master!$A:$E,4,FALSE)</f>
        <v>Logitech</v>
      </c>
      <c r="Q11" s="5">
        <f>VLOOKUP(H11,Product_Master!$A:$E,5,FALSE)</f>
        <v>0.18</v>
      </c>
      <c r="R11" s="2">
        <f t="shared" si="0"/>
        <v>10800</v>
      </c>
      <c r="S11" s="2">
        <f t="shared" si="1"/>
        <v>1944</v>
      </c>
      <c r="T11" s="2">
        <f t="shared" si="2"/>
        <v>12744</v>
      </c>
      <c r="AA11" s="8" t="s">
        <v>628</v>
      </c>
      <c r="AB11" s="6" t="s">
        <v>603</v>
      </c>
    </row>
    <row r="12" spans="1:28" x14ac:dyDescent="0.2">
      <c r="A12" s="5" t="s">
        <v>46</v>
      </c>
      <c r="B12" s="3">
        <v>46214</v>
      </c>
      <c r="C12" s="21" t="s">
        <v>47</v>
      </c>
      <c r="D12" s="5" t="str" cm="1">
        <f t="array" ref="D12:F12">_xlfn.TEXTSPLIT(TRIM(C12),"-")</f>
        <v>C011</v>
      </c>
      <c r="E12" s="21" t="str">
        <v>Vishnu</v>
      </c>
      <c r="F12" s="21" t="str">
        <v>Kollam</v>
      </c>
      <c r="G12" s="21" t="s">
        <v>48</v>
      </c>
      <c r="H12" s="5" t="str" cm="1">
        <f t="array" ref="H12:I12">_xlfn.TEXTSPLIT(TRIM(G12),"-")</f>
        <v>P104</v>
      </c>
      <c r="I12" s="21" t="str">
        <v>Mouse</v>
      </c>
      <c r="J12" s="21" t="s">
        <v>26</v>
      </c>
      <c r="K12" s="4">
        <v>11</v>
      </c>
      <c r="L12" s="31">
        <v>750</v>
      </c>
      <c r="M12" s="21" t="s">
        <v>13</v>
      </c>
      <c r="N12" s="30" t="s">
        <v>19</v>
      </c>
      <c r="O12" s="21" t="str">
        <f>VLOOKUP(H12,Product_Master!$A:$E,3,FALSE)</f>
        <v>Accessories</v>
      </c>
      <c r="P12" s="21" t="str">
        <f>VLOOKUP(H12,Product_Master!$A:$E,4,FALSE)</f>
        <v>HP</v>
      </c>
      <c r="Q12" s="5">
        <f>VLOOKUP(H12,Product_Master!$A:$E,5,FALSE)</f>
        <v>0.18</v>
      </c>
      <c r="R12" s="2">
        <f t="shared" si="0"/>
        <v>8250</v>
      </c>
      <c r="S12" s="2">
        <f t="shared" si="1"/>
        <v>1485</v>
      </c>
      <c r="T12" s="2">
        <f t="shared" si="2"/>
        <v>9735</v>
      </c>
      <c r="V12" s="8" t="s">
        <v>578</v>
      </c>
      <c r="W12" s="11">
        <f>MIN(T2:T251)</f>
        <v>885</v>
      </c>
    </row>
    <row r="13" spans="1:28" x14ac:dyDescent="0.2">
      <c r="A13" s="5" t="s">
        <v>49</v>
      </c>
      <c r="B13" s="3">
        <v>46210</v>
      </c>
      <c r="C13" s="21" t="s">
        <v>50</v>
      </c>
      <c r="D13" s="5" t="str" cm="1">
        <f t="array" ref="D13:F13">_xlfn.TEXTSPLIT(TRIM(C13),"-")</f>
        <v>C012</v>
      </c>
      <c r="E13" s="21" t="str">
        <v>Nikhil</v>
      </c>
      <c r="F13" s="21" t="str">
        <v>Thrissur</v>
      </c>
      <c r="G13" s="21" t="s">
        <v>39</v>
      </c>
      <c r="H13" s="5" t="str" cm="1">
        <f t="array" ref="H13:I13">_xlfn.TEXTSPLIT(TRIM(G13),"-")</f>
        <v>P105</v>
      </c>
      <c r="I13" s="21" t="str">
        <v>Headphones</v>
      </c>
      <c r="J13" s="21" t="s">
        <v>51</v>
      </c>
      <c r="K13" s="4">
        <v>2</v>
      </c>
      <c r="L13" s="31">
        <v>2500</v>
      </c>
      <c r="M13" s="21" t="s">
        <v>27</v>
      </c>
      <c r="N13" s="30" t="s">
        <v>14</v>
      </c>
      <c r="O13" s="21" t="str">
        <f>VLOOKUP(H13,Product_Master!$A:$E,3,FALSE)</f>
        <v>Accessories</v>
      </c>
      <c r="P13" s="21" t="str">
        <f>VLOOKUP(H13,Product_Master!$A:$E,4,FALSE)</f>
        <v>Sony</v>
      </c>
      <c r="Q13" s="5">
        <f>VLOOKUP(H13,Product_Master!$A:$E,5,FALSE)</f>
        <v>0.18</v>
      </c>
      <c r="R13" s="2">
        <f t="shared" si="0"/>
        <v>5000</v>
      </c>
      <c r="S13" s="2">
        <f t="shared" si="1"/>
        <v>900</v>
      </c>
      <c r="T13" s="2">
        <f t="shared" si="2"/>
        <v>5900</v>
      </c>
      <c r="AA13" s="8" t="s">
        <v>629</v>
      </c>
      <c r="AB13" s="6" t="s">
        <v>592</v>
      </c>
    </row>
    <row r="14" spans="1:28" x14ac:dyDescent="0.2">
      <c r="A14" s="5" t="s">
        <v>52</v>
      </c>
      <c r="B14" s="3">
        <v>46218</v>
      </c>
      <c r="C14" s="21" t="s">
        <v>53</v>
      </c>
      <c r="D14" s="5" t="str" cm="1">
        <f t="array" ref="D14:F14">_xlfn.TEXTSPLIT(TRIM(C14),"-")</f>
        <v>C013</v>
      </c>
      <c r="E14" s="21" t="str">
        <v>Nandana</v>
      </c>
      <c r="F14" s="21" t="str">
        <v>Alappuzha</v>
      </c>
      <c r="G14" s="21" t="s">
        <v>54</v>
      </c>
      <c r="H14" s="5" t="str" cm="1">
        <f t="array" ref="H14:I14">_xlfn.TEXTSPLIT(TRIM(G14),"-")</f>
        <v>P107</v>
      </c>
      <c r="I14" s="21" t="str">
        <v>Webcam</v>
      </c>
      <c r="J14" s="21" t="s">
        <v>42</v>
      </c>
      <c r="K14" s="4">
        <v>11</v>
      </c>
      <c r="L14" s="31">
        <v>3500</v>
      </c>
      <c r="M14" s="21" t="s">
        <v>27</v>
      </c>
      <c r="N14" s="30" t="s">
        <v>14</v>
      </c>
      <c r="O14" s="21" t="str">
        <f>VLOOKUP(H14,Product_Master!$A:$E,3,FALSE)</f>
        <v>Electronics</v>
      </c>
      <c r="P14" s="21" t="str">
        <f>VLOOKUP(H14,Product_Master!$A:$E,4,FALSE)</f>
        <v>Logitech</v>
      </c>
      <c r="Q14" s="5">
        <f>VLOOKUP(H14,Product_Master!$A:$E,5,FALSE)</f>
        <v>0.18</v>
      </c>
      <c r="R14" s="2">
        <f t="shared" si="0"/>
        <v>38500</v>
      </c>
      <c r="S14" s="2">
        <f t="shared" si="1"/>
        <v>6930</v>
      </c>
      <c r="T14" s="2">
        <f t="shared" si="2"/>
        <v>45430</v>
      </c>
      <c r="V14" s="8" t="s">
        <v>579</v>
      </c>
      <c r="W14" s="11">
        <f>MAX(T2:T251)</f>
        <v>778800</v>
      </c>
    </row>
    <row r="15" spans="1:28" x14ac:dyDescent="0.2">
      <c r="A15" s="5" t="s">
        <v>55</v>
      </c>
      <c r="B15" s="3">
        <v>46216</v>
      </c>
      <c r="C15" s="21" t="s">
        <v>56</v>
      </c>
      <c r="D15" s="5" t="str" cm="1">
        <f t="array" ref="D15:F15">_xlfn.TEXTSPLIT(TRIM(C15),"-")</f>
        <v>C014</v>
      </c>
      <c r="E15" s="21" t="str">
        <v>Divya</v>
      </c>
      <c r="F15" s="21" t="str">
        <v>Kollam</v>
      </c>
      <c r="G15" s="21" t="s">
        <v>54</v>
      </c>
      <c r="H15" s="5" t="str" cm="1">
        <f t="array" ref="H15:I15">_xlfn.TEXTSPLIT(TRIM(G15),"-")</f>
        <v>P107</v>
      </c>
      <c r="I15" s="21" t="str">
        <v>Webcam</v>
      </c>
      <c r="J15" s="21" t="s">
        <v>26</v>
      </c>
      <c r="K15" s="4">
        <v>10</v>
      </c>
      <c r="L15" s="31">
        <v>3500</v>
      </c>
      <c r="M15" s="21" t="s">
        <v>13</v>
      </c>
      <c r="N15" s="30" t="s">
        <v>14</v>
      </c>
      <c r="O15" s="21" t="str">
        <f>VLOOKUP(H15,Product_Master!$A:$E,3,FALSE)</f>
        <v>Electronics</v>
      </c>
      <c r="P15" s="21" t="str">
        <f>VLOOKUP(H15,Product_Master!$A:$E,4,FALSE)</f>
        <v>Logitech</v>
      </c>
      <c r="Q15" s="5">
        <f>VLOOKUP(H15,Product_Master!$A:$E,5,FALSE)</f>
        <v>0.18</v>
      </c>
      <c r="R15" s="2">
        <f t="shared" si="0"/>
        <v>35000</v>
      </c>
      <c r="S15" s="2">
        <f t="shared" si="1"/>
        <v>6300</v>
      </c>
      <c r="T15" s="2">
        <f t="shared" si="2"/>
        <v>41300</v>
      </c>
      <c r="AA15" s="8" t="s">
        <v>630</v>
      </c>
      <c r="AB15" s="11">
        <f>AVERAGE(T2:T251)</f>
        <v>94874.596000000005</v>
      </c>
    </row>
    <row r="16" spans="1:28" x14ac:dyDescent="0.2">
      <c r="A16" s="5" t="s">
        <v>57</v>
      </c>
      <c r="B16" s="3">
        <v>46231</v>
      </c>
      <c r="C16" s="21" t="s">
        <v>58</v>
      </c>
      <c r="D16" s="5" t="str" cm="1">
        <f t="array" ref="D16:F16">_xlfn.TEXTSPLIT(TRIM(C16),"-")</f>
        <v>C015</v>
      </c>
      <c r="E16" s="21" t="str">
        <v>Meera</v>
      </c>
      <c r="F16" s="21" t="str">
        <v>Alappuzha</v>
      </c>
      <c r="G16" s="21" t="s">
        <v>17</v>
      </c>
      <c r="H16" s="5" t="str" cm="1">
        <f t="array" ref="H16:I16">_xlfn.TEXTSPLIT(TRIM(G16),"-")</f>
        <v>P102</v>
      </c>
      <c r="I16" s="21" t="str">
        <v>Monitor</v>
      </c>
      <c r="J16" s="21" t="s">
        <v>42</v>
      </c>
      <c r="K16" s="4">
        <v>1</v>
      </c>
      <c r="L16" s="31">
        <v>15000</v>
      </c>
      <c r="M16" s="21" t="s">
        <v>13</v>
      </c>
      <c r="N16" s="30" t="s">
        <v>14</v>
      </c>
      <c r="O16" s="21" t="str">
        <f>VLOOKUP(H16,Product_Master!$A:$E,3,FALSE)</f>
        <v>Electronics</v>
      </c>
      <c r="P16" s="21" t="str">
        <f>VLOOKUP(H16,Product_Master!$A:$E,4,FALSE)</f>
        <v>LG</v>
      </c>
      <c r="Q16" s="5">
        <f>VLOOKUP(H16,Product_Master!$A:$E,5,FALSE)</f>
        <v>0.18</v>
      </c>
      <c r="R16" s="2">
        <f t="shared" si="0"/>
        <v>15000</v>
      </c>
      <c r="S16" s="2">
        <f t="shared" si="1"/>
        <v>2700</v>
      </c>
      <c r="T16" s="2">
        <f t="shared" si="2"/>
        <v>17700</v>
      </c>
    </row>
    <row r="17" spans="1:28" x14ac:dyDescent="0.2">
      <c r="A17" s="5" t="s">
        <v>59</v>
      </c>
      <c r="B17" s="3">
        <v>46216</v>
      </c>
      <c r="C17" s="21" t="s">
        <v>60</v>
      </c>
      <c r="D17" s="5" t="str" cm="1">
        <f t="array" ref="D17:F17">_xlfn.TEXTSPLIT(TRIM(C17),"-")</f>
        <v>C016</v>
      </c>
      <c r="E17" s="21" t="str">
        <v>Farhan</v>
      </c>
      <c r="F17" s="21" t="str">
        <v>Thrissur</v>
      </c>
      <c r="G17" s="21" t="s">
        <v>17</v>
      </c>
      <c r="H17" s="5" t="str" cm="1">
        <f t="array" ref="H17:I17">_xlfn.TEXTSPLIT(TRIM(G17),"-")</f>
        <v>P102</v>
      </c>
      <c r="I17" s="21" t="str">
        <v>Monitor</v>
      </c>
      <c r="J17" s="21" t="s">
        <v>51</v>
      </c>
      <c r="K17" s="4">
        <v>7</v>
      </c>
      <c r="L17" s="31">
        <v>15000</v>
      </c>
      <c r="M17" s="21" t="s">
        <v>23</v>
      </c>
      <c r="N17" s="30" t="s">
        <v>61</v>
      </c>
      <c r="O17" s="21" t="str">
        <f>VLOOKUP(H17,Product_Master!$A:$E,3,FALSE)</f>
        <v>Electronics</v>
      </c>
      <c r="P17" s="21" t="str">
        <f>VLOOKUP(H17,Product_Master!$A:$E,4,FALSE)</f>
        <v>LG</v>
      </c>
      <c r="Q17" s="5">
        <f>VLOOKUP(H17,Product_Master!$A:$E,5,FALSE)</f>
        <v>0.18</v>
      </c>
      <c r="R17" s="2">
        <f t="shared" si="0"/>
        <v>105000</v>
      </c>
      <c r="S17" s="2">
        <f t="shared" si="1"/>
        <v>18900</v>
      </c>
      <c r="T17" s="2">
        <f t="shared" si="2"/>
        <v>123900</v>
      </c>
      <c r="V17" s="12" t="s">
        <v>580</v>
      </c>
      <c r="W17" s="13" t="s">
        <v>581</v>
      </c>
      <c r="X17" s="14" t="s">
        <v>589</v>
      </c>
      <c r="AA17" s="8" t="s">
        <v>631</v>
      </c>
      <c r="AB17" t="s">
        <v>635</v>
      </c>
    </row>
    <row r="18" spans="1:28" x14ac:dyDescent="0.2">
      <c r="A18" s="5" t="s">
        <v>62</v>
      </c>
      <c r="B18" s="3">
        <v>46232</v>
      </c>
      <c r="C18" s="21" t="s">
        <v>63</v>
      </c>
      <c r="D18" s="5" t="str" cm="1">
        <f t="array" ref="D18:F18">_xlfn.TEXTSPLIT(TRIM(C18),"-")</f>
        <v>C017</v>
      </c>
      <c r="E18" s="21" t="str">
        <v>Sanjay</v>
      </c>
      <c r="F18" s="21" t="str">
        <v>Kochi</v>
      </c>
      <c r="G18" s="21" t="s">
        <v>17</v>
      </c>
      <c r="H18" s="5" t="str" cm="1">
        <f t="array" ref="H18:I18">_xlfn.TEXTSPLIT(TRIM(G18),"-")</f>
        <v>P102</v>
      </c>
      <c r="I18" s="21" t="str">
        <v>Monitor</v>
      </c>
      <c r="J18" s="21" t="s">
        <v>64</v>
      </c>
      <c r="K18" s="4">
        <v>11</v>
      </c>
      <c r="L18" s="31">
        <v>15000</v>
      </c>
      <c r="M18" s="21" t="s">
        <v>27</v>
      </c>
      <c r="N18" s="30" t="s">
        <v>28</v>
      </c>
      <c r="O18" s="21" t="str">
        <f>VLOOKUP(H18,Product_Master!$A:$E,3,FALSE)</f>
        <v>Electronics</v>
      </c>
      <c r="P18" s="21" t="str">
        <f>VLOOKUP(H18,Product_Master!$A:$E,4,FALSE)</f>
        <v>LG</v>
      </c>
      <c r="Q18" s="5">
        <f>VLOOKUP(H18,Product_Master!$A:$E,5,FALSE)</f>
        <v>0.18</v>
      </c>
      <c r="R18" s="2">
        <f t="shared" si="0"/>
        <v>165000</v>
      </c>
      <c r="S18" s="2">
        <f t="shared" si="1"/>
        <v>29700</v>
      </c>
      <c r="T18" s="2">
        <f t="shared" si="2"/>
        <v>194700</v>
      </c>
      <c r="V18" s="8" t="s">
        <v>590</v>
      </c>
      <c r="W18" s="10">
        <f>COUNTIF($J$1:$J$251,V18)</f>
        <v>31</v>
      </c>
      <c r="X18" s="9">
        <f t="shared" ref="X18:X25" si="3">SUMIF($J$2:$J$251,V18,$R$2:$R$251)</f>
        <v>3974450</v>
      </c>
      <c r="AB18" t="s">
        <v>636</v>
      </c>
    </row>
    <row r="19" spans="1:28" x14ac:dyDescent="0.2">
      <c r="A19" s="5" t="s">
        <v>65</v>
      </c>
      <c r="B19" s="3">
        <v>46218</v>
      </c>
      <c r="C19" s="21" t="s">
        <v>66</v>
      </c>
      <c r="D19" s="5" t="str" cm="1">
        <f t="array" ref="D19:F19">_xlfn.TEXTSPLIT(TRIM(C19),"-")</f>
        <v>C018</v>
      </c>
      <c r="E19" s="21" t="str">
        <v>Priya</v>
      </c>
      <c r="F19" s="21" t="str">
        <v>Kollam</v>
      </c>
      <c r="G19" s="21" t="s">
        <v>54</v>
      </c>
      <c r="H19" s="5" t="str" cm="1">
        <f t="array" ref="H19:I19">_xlfn.TEXTSPLIT(TRIM(G19),"-")</f>
        <v>P107</v>
      </c>
      <c r="I19" s="21" t="str">
        <v>Webcam</v>
      </c>
      <c r="J19" s="21" t="s">
        <v>26</v>
      </c>
      <c r="K19" s="4">
        <v>3</v>
      </c>
      <c r="L19" s="31">
        <v>3500</v>
      </c>
      <c r="M19" s="21" t="s">
        <v>27</v>
      </c>
      <c r="N19" s="30" t="s">
        <v>61</v>
      </c>
      <c r="O19" s="21" t="str">
        <f>VLOOKUP(H19,Product_Master!$A:$E,3,FALSE)</f>
        <v>Electronics</v>
      </c>
      <c r="P19" s="21" t="str">
        <f>VLOOKUP(H19,Product_Master!$A:$E,4,FALSE)</f>
        <v>Logitech</v>
      </c>
      <c r="Q19" s="5">
        <f>VLOOKUP(H19,Product_Master!$A:$E,5,FALSE)</f>
        <v>0.18</v>
      </c>
      <c r="R19" s="2">
        <f t="shared" si="0"/>
        <v>10500</v>
      </c>
      <c r="S19" s="2">
        <f t="shared" si="1"/>
        <v>1890</v>
      </c>
      <c r="T19" s="2">
        <f t="shared" si="2"/>
        <v>12390</v>
      </c>
      <c r="V19" s="8" t="s">
        <v>583</v>
      </c>
      <c r="W19" s="10">
        <f t="shared" ref="W19:W25" si="4">COUNTIF($J$1:$J$251,V19)</f>
        <v>43</v>
      </c>
      <c r="X19" s="9">
        <f t="shared" si="3"/>
        <v>3080650</v>
      </c>
    </row>
    <row r="20" spans="1:28" x14ac:dyDescent="0.2">
      <c r="A20" s="5" t="s">
        <v>67</v>
      </c>
      <c r="B20" s="3">
        <v>46220</v>
      </c>
      <c r="C20" s="21" t="s">
        <v>68</v>
      </c>
      <c r="D20" s="5" t="str" cm="1">
        <f t="array" ref="D20:F20">_xlfn.TEXTSPLIT(TRIM(C20),"-")</f>
        <v>C019</v>
      </c>
      <c r="E20" s="21" t="str">
        <v>Neha</v>
      </c>
      <c r="F20" s="21" t="str">
        <v>Trivandrum</v>
      </c>
      <c r="G20" s="21" t="s">
        <v>39</v>
      </c>
      <c r="H20" s="5" t="str" cm="1">
        <f t="array" ref="H20:I20">_xlfn.TEXTSPLIT(TRIM(G20),"-")</f>
        <v>P105</v>
      </c>
      <c r="I20" s="21" t="str">
        <v>Headphones</v>
      </c>
      <c r="J20" s="21" t="s">
        <v>12</v>
      </c>
      <c r="K20" s="4">
        <v>11</v>
      </c>
      <c r="L20" s="31">
        <v>2500</v>
      </c>
      <c r="M20" s="21" t="s">
        <v>13</v>
      </c>
      <c r="N20" s="30" t="s">
        <v>14</v>
      </c>
      <c r="O20" s="21" t="str">
        <f>VLOOKUP(H20,Product_Master!$A:$E,3,FALSE)</f>
        <v>Accessories</v>
      </c>
      <c r="P20" s="21" t="str">
        <f>VLOOKUP(H20,Product_Master!$A:$E,4,FALSE)</f>
        <v>Sony</v>
      </c>
      <c r="Q20" s="5">
        <f>VLOOKUP(H20,Product_Master!$A:$E,5,FALSE)</f>
        <v>0.18</v>
      </c>
      <c r="R20" s="2">
        <f t="shared" si="0"/>
        <v>27500</v>
      </c>
      <c r="S20" s="2">
        <f t="shared" si="1"/>
        <v>4950</v>
      </c>
      <c r="T20" s="2">
        <f t="shared" si="2"/>
        <v>32450</v>
      </c>
      <c r="V20" s="8" t="s">
        <v>594</v>
      </c>
      <c r="W20" s="10">
        <f t="shared" si="4"/>
        <v>34</v>
      </c>
      <c r="X20" s="9">
        <f t="shared" si="3"/>
        <v>2843750</v>
      </c>
    </row>
    <row r="21" spans="1:28" x14ac:dyDescent="0.2">
      <c r="A21" s="5" t="s">
        <v>69</v>
      </c>
      <c r="B21" s="3">
        <v>46214</v>
      </c>
      <c r="C21" s="21" t="s">
        <v>70</v>
      </c>
      <c r="D21" s="5" t="str" cm="1">
        <f t="array" ref="D21:F21">_xlfn.TEXTSPLIT(TRIM(C21),"-")</f>
        <v>C020</v>
      </c>
      <c r="E21" s="21" t="str">
        <v>Sneha</v>
      </c>
      <c r="F21" s="21" t="str">
        <v>Kozhikode</v>
      </c>
      <c r="G21" s="21" t="s">
        <v>11</v>
      </c>
      <c r="H21" s="5" t="str" cm="1">
        <f t="array" ref="H21:I21">_xlfn.TEXTSPLIT(TRIM(G21),"-")</f>
        <v>P101</v>
      </c>
      <c r="I21" s="21" t="str">
        <v>Laptop</v>
      </c>
      <c r="J21" s="21" t="s">
        <v>71</v>
      </c>
      <c r="K21" s="4">
        <v>10</v>
      </c>
      <c r="L21" s="31">
        <v>55000</v>
      </c>
      <c r="M21" s="21" t="s">
        <v>18</v>
      </c>
      <c r="N21" s="30" t="s">
        <v>19</v>
      </c>
      <c r="O21" s="21" t="str">
        <f>VLOOKUP(H21,Product_Master!$A:$E,3,FALSE)</f>
        <v>Electronics</v>
      </c>
      <c r="P21" s="21" t="str">
        <f>VLOOKUP(H21,Product_Master!$A:$E,4,FALSE)</f>
        <v>Dell</v>
      </c>
      <c r="Q21" s="5">
        <f>VLOOKUP(H21,Product_Master!$A:$E,5,FALSE)</f>
        <v>0.18</v>
      </c>
      <c r="R21" s="2">
        <f t="shared" si="0"/>
        <v>550000</v>
      </c>
      <c r="S21" s="2">
        <f t="shared" si="1"/>
        <v>99000</v>
      </c>
      <c r="T21" s="2">
        <f t="shared" si="2"/>
        <v>649000</v>
      </c>
      <c r="V21" s="8" t="s">
        <v>582</v>
      </c>
      <c r="W21" s="10">
        <f t="shared" si="4"/>
        <v>36</v>
      </c>
      <c r="X21" s="9">
        <f t="shared" si="3"/>
        <v>2697900</v>
      </c>
    </row>
    <row r="22" spans="1:28" x14ac:dyDescent="0.2">
      <c r="A22" s="5" t="s">
        <v>72</v>
      </c>
      <c r="B22" s="3">
        <v>46211</v>
      </c>
      <c r="C22" s="21" t="s">
        <v>73</v>
      </c>
      <c r="D22" s="5" t="str" cm="1">
        <f t="array" ref="D22:F22">_xlfn.TEXTSPLIT(TRIM(C22),"-")</f>
        <v>C021</v>
      </c>
      <c r="E22" s="21" t="str">
        <v>Sneha</v>
      </c>
      <c r="F22" s="21" t="str">
        <v>Kollam</v>
      </c>
      <c r="G22" s="21" t="s">
        <v>48</v>
      </c>
      <c r="H22" s="5" t="str" cm="1">
        <f t="array" ref="H22:I22">_xlfn.TEXTSPLIT(TRIM(G22),"-")</f>
        <v>P104</v>
      </c>
      <c r="I22" s="21" t="str">
        <v>Mouse</v>
      </c>
      <c r="J22" s="21" t="s">
        <v>26</v>
      </c>
      <c r="K22" s="4">
        <v>1</v>
      </c>
      <c r="L22" s="31">
        <v>750</v>
      </c>
      <c r="M22" s="21" t="s">
        <v>18</v>
      </c>
      <c r="N22" s="30" t="s">
        <v>19</v>
      </c>
      <c r="O22" s="21" t="str">
        <f>VLOOKUP(H22,Product_Master!$A:$E,3,FALSE)</f>
        <v>Accessories</v>
      </c>
      <c r="P22" s="21" t="str">
        <f>VLOOKUP(H22,Product_Master!$A:$E,4,FALSE)</f>
        <v>HP</v>
      </c>
      <c r="Q22" s="5">
        <f>VLOOKUP(H22,Product_Master!$A:$E,5,FALSE)</f>
        <v>0.18</v>
      </c>
      <c r="R22" s="2">
        <f t="shared" si="0"/>
        <v>750</v>
      </c>
      <c r="S22" s="2">
        <f t="shared" si="1"/>
        <v>135</v>
      </c>
      <c r="T22" s="2">
        <f t="shared" si="2"/>
        <v>885</v>
      </c>
      <c r="V22" s="8" t="s">
        <v>586</v>
      </c>
      <c r="W22" s="10">
        <f t="shared" si="4"/>
        <v>25</v>
      </c>
      <c r="X22" s="9">
        <f t="shared" si="3"/>
        <v>2433900</v>
      </c>
    </row>
    <row r="23" spans="1:28" x14ac:dyDescent="0.2">
      <c r="A23" s="5" t="s">
        <v>74</v>
      </c>
      <c r="B23" s="3">
        <v>46228</v>
      </c>
      <c r="C23" s="21" t="s">
        <v>75</v>
      </c>
      <c r="D23" s="5" t="str" cm="1">
        <f t="array" ref="D23:F23">_xlfn.TEXTSPLIT(TRIM(C23),"-")</f>
        <v>C022</v>
      </c>
      <c r="E23" s="21" t="str">
        <v>Joel</v>
      </c>
      <c r="F23" s="21" t="str">
        <v>Alappuzha</v>
      </c>
      <c r="G23" s="21" t="s">
        <v>17</v>
      </c>
      <c r="H23" s="5" t="str" cm="1">
        <f t="array" ref="H23:I23">_xlfn.TEXTSPLIT(TRIM(G23),"-")</f>
        <v>P102</v>
      </c>
      <c r="I23" s="21" t="str">
        <v>Monitor</v>
      </c>
      <c r="J23" s="21" t="s">
        <v>42</v>
      </c>
      <c r="K23" s="4">
        <v>9</v>
      </c>
      <c r="L23" s="31">
        <v>15000</v>
      </c>
      <c r="M23" s="21" t="s">
        <v>13</v>
      </c>
      <c r="N23" s="30" t="s">
        <v>34</v>
      </c>
      <c r="O23" s="21" t="str">
        <f>VLOOKUP(H23,Product_Master!$A:$E,3,FALSE)</f>
        <v>Electronics</v>
      </c>
      <c r="P23" s="21" t="str">
        <f>VLOOKUP(H23,Product_Master!$A:$E,4,FALSE)</f>
        <v>LG</v>
      </c>
      <c r="Q23" s="5">
        <f>VLOOKUP(H23,Product_Master!$A:$E,5,FALSE)</f>
        <v>0.18</v>
      </c>
      <c r="R23" s="2">
        <f t="shared" si="0"/>
        <v>135000</v>
      </c>
      <c r="S23" s="2">
        <f t="shared" si="1"/>
        <v>24300</v>
      </c>
      <c r="T23" s="2">
        <f t="shared" si="2"/>
        <v>159300</v>
      </c>
      <c r="V23" s="8" t="s">
        <v>585</v>
      </c>
      <c r="W23" s="10">
        <f t="shared" si="4"/>
        <v>29</v>
      </c>
      <c r="X23" s="9">
        <f t="shared" si="3"/>
        <v>2040300</v>
      </c>
    </row>
    <row r="24" spans="1:28" x14ac:dyDescent="0.2">
      <c r="A24" s="5" t="s">
        <v>76</v>
      </c>
      <c r="B24" s="3">
        <v>46231</v>
      </c>
      <c r="C24" s="21" t="s">
        <v>77</v>
      </c>
      <c r="D24" s="5" t="str" cm="1">
        <f t="array" ref="D24:F24">_xlfn.TEXTSPLIT(TRIM(C24),"-")</f>
        <v>C023</v>
      </c>
      <c r="E24" s="21" t="str">
        <v>Ravi</v>
      </c>
      <c r="F24" s="21" t="str">
        <v>Kozhikode</v>
      </c>
      <c r="G24" s="21" t="s">
        <v>39</v>
      </c>
      <c r="H24" s="5" t="str" cm="1">
        <f t="array" ref="H24:I24">_xlfn.TEXTSPLIT(TRIM(G24),"-")</f>
        <v>P105</v>
      </c>
      <c r="I24" s="21" t="str">
        <v>Headphones</v>
      </c>
      <c r="J24" s="21" t="s">
        <v>71</v>
      </c>
      <c r="K24" s="4">
        <v>9</v>
      </c>
      <c r="L24" s="31">
        <v>2500</v>
      </c>
      <c r="M24" s="21" t="s">
        <v>23</v>
      </c>
      <c r="N24" s="30" t="s">
        <v>14</v>
      </c>
      <c r="O24" s="21" t="str">
        <f>VLOOKUP(H24,Product_Master!$A:$E,3,FALSE)</f>
        <v>Accessories</v>
      </c>
      <c r="P24" s="21" t="str">
        <f>VLOOKUP(H24,Product_Master!$A:$E,4,FALSE)</f>
        <v>Sony</v>
      </c>
      <c r="Q24" s="5">
        <f>VLOOKUP(H24,Product_Master!$A:$E,5,FALSE)</f>
        <v>0.18</v>
      </c>
      <c r="R24" s="2">
        <f t="shared" si="0"/>
        <v>22500</v>
      </c>
      <c r="S24" s="2">
        <f t="shared" si="1"/>
        <v>4050</v>
      </c>
      <c r="T24" s="2">
        <f t="shared" si="2"/>
        <v>26550</v>
      </c>
      <c r="V24" s="8" t="s">
        <v>587</v>
      </c>
      <c r="W24" s="10">
        <f t="shared" si="4"/>
        <v>22</v>
      </c>
      <c r="X24" s="9">
        <f t="shared" si="3"/>
        <v>1604200</v>
      </c>
    </row>
    <row r="25" spans="1:28" x14ac:dyDescent="0.2">
      <c r="A25" s="5" t="s">
        <v>78</v>
      </c>
      <c r="B25" s="3">
        <v>46225</v>
      </c>
      <c r="C25" s="21" t="s">
        <v>79</v>
      </c>
      <c r="D25" s="5" t="str" cm="1">
        <f t="array" ref="D25:F25">_xlfn.TEXTSPLIT(TRIM(C25),"-")</f>
        <v>C024</v>
      </c>
      <c r="E25" s="21" t="str">
        <v>Ravi</v>
      </c>
      <c r="F25" s="21" t="str">
        <v>Kannur</v>
      </c>
      <c r="G25" s="21" t="s">
        <v>39</v>
      </c>
      <c r="H25" s="5" t="str" cm="1">
        <f t="array" ref="H25:I25">_xlfn.TEXTSPLIT(TRIM(G25),"-")</f>
        <v>P105</v>
      </c>
      <c r="I25" s="21" t="str">
        <v>Headphones</v>
      </c>
      <c r="J25" s="21" t="s">
        <v>22</v>
      </c>
      <c r="K25" s="4">
        <v>7</v>
      </c>
      <c r="L25" s="31">
        <v>2500</v>
      </c>
      <c r="M25" s="21" t="s">
        <v>27</v>
      </c>
      <c r="N25" s="30" t="s">
        <v>34</v>
      </c>
      <c r="O25" s="21" t="str">
        <f>VLOOKUP(H25,Product_Master!$A:$E,3,FALSE)</f>
        <v>Accessories</v>
      </c>
      <c r="P25" s="21" t="str">
        <f>VLOOKUP(H25,Product_Master!$A:$E,4,FALSE)</f>
        <v>Sony</v>
      </c>
      <c r="Q25" s="5">
        <f>VLOOKUP(H25,Product_Master!$A:$E,5,FALSE)</f>
        <v>0.18</v>
      </c>
      <c r="R25" s="2">
        <f t="shared" si="0"/>
        <v>17500</v>
      </c>
      <c r="S25" s="2">
        <f t="shared" si="1"/>
        <v>3150</v>
      </c>
      <c r="T25" s="2">
        <f t="shared" si="2"/>
        <v>20650</v>
      </c>
      <c r="V25" s="8" t="s">
        <v>584</v>
      </c>
      <c r="W25" s="10">
        <f t="shared" si="4"/>
        <v>30</v>
      </c>
      <c r="X25" s="9">
        <f t="shared" si="3"/>
        <v>1425400</v>
      </c>
    </row>
    <row r="26" spans="1:28" x14ac:dyDescent="0.2">
      <c r="A26" s="5" t="s">
        <v>80</v>
      </c>
      <c r="B26" s="3">
        <v>46211</v>
      </c>
      <c r="C26" s="21" t="s">
        <v>81</v>
      </c>
      <c r="D26" s="5" t="str" cm="1">
        <f t="array" ref="D26:F26">_xlfn.TEXTSPLIT(TRIM(C26),"-")</f>
        <v>C025</v>
      </c>
      <c r="E26" s="21" t="str">
        <v>Meera</v>
      </c>
      <c r="F26" s="21" t="str">
        <v>Alappuzha</v>
      </c>
      <c r="G26" s="21" t="s">
        <v>17</v>
      </c>
      <c r="H26" s="5" t="str" cm="1">
        <f t="array" ref="H26:I26">_xlfn.TEXTSPLIT(TRIM(G26),"-")</f>
        <v>P102</v>
      </c>
      <c r="I26" s="21" t="str">
        <v>Monitor</v>
      </c>
      <c r="J26" s="21" t="s">
        <v>42</v>
      </c>
      <c r="K26" s="4">
        <v>4</v>
      </c>
      <c r="L26" s="31">
        <v>15000</v>
      </c>
      <c r="M26" s="21" t="s">
        <v>27</v>
      </c>
      <c r="N26" s="30" t="s">
        <v>19</v>
      </c>
      <c r="O26" s="21" t="str">
        <f>VLOOKUP(H26,Product_Master!$A:$E,3,FALSE)</f>
        <v>Electronics</v>
      </c>
      <c r="P26" s="21" t="str">
        <f>VLOOKUP(H26,Product_Master!$A:$E,4,FALSE)</f>
        <v>LG</v>
      </c>
      <c r="Q26" s="5">
        <f>VLOOKUP(H26,Product_Master!$A:$E,5,FALSE)</f>
        <v>0.18</v>
      </c>
      <c r="R26" s="2">
        <f t="shared" si="0"/>
        <v>60000</v>
      </c>
      <c r="S26" s="2">
        <f t="shared" si="1"/>
        <v>10800</v>
      </c>
      <c r="T26" s="2">
        <f t="shared" si="2"/>
        <v>70800</v>
      </c>
      <c r="X26" s="9"/>
    </row>
    <row r="27" spans="1:28" x14ac:dyDescent="0.2">
      <c r="A27" s="5" t="s">
        <v>82</v>
      </c>
      <c r="B27" s="3">
        <v>46206</v>
      </c>
      <c r="C27" s="21" t="s">
        <v>83</v>
      </c>
      <c r="D27" s="5" t="str" cm="1">
        <f t="array" ref="D27:F27">_xlfn.TEXTSPLIT(TRIM(C27),"-")</f>
        <v>C026</v>
      </c>
      <c r="E27" s="21" t="str">
        <v>Asha</v>
      </c>
      <c r="F27" s="21" t="str">
        <v>Kannur</v>
      </c>
      <c r="G27" s="21" t="s">
        <v>48</v>
      </c>
      <c r="H27" s="5" t="str" cm="1">
        <f t="array" ref="H27:I27">_xlfn.TEXTSPLIT(TRIM(G27),"-")</f>
        <v>P104</v>
      </c>
      <c r="I27" s="21" t="str">
        <v>Mouse</v>
      </c>
      <c r="J27" s="21" t="s">
        <v>22</v>
      </c>
      <c r="K27" s="4">
        <v>1</v>
      </c>
      <c r="L27" s="31">
        <v>750</v>
      </c>
      <c r="M27" s="21" t="s">
        <v>18</v>
      </c>
      <c r="N27" s="30" t="s">
        <v>14</v>
      </c>
      <c r="O27" s="21" t="str">
        <f>VLOOKUP(H27,Product_Master!$A:$E,3,FALSE)</f>
        <v>Accessories</v>
      </c>
      <c r="P27" s="21" t="str">
        <f>VLOOKUP(H27,Product_Master!$A:$E,4,FALSE)</f>
        <v>HP</v>
      </c>
      <c r="Q27" s="5">
        <f>VLOOKUP(H27,Product_Master!$A:$E,5,FALSE)</f>
        <v>0.18</v>
      </c>
      <c r="R27" s="2">
        <f t="shared" si="0"/>
        <v>750</v>
      </c>
      <c r="S27" s="2">
        <f t="shared" si="1"/>
        <v>135</v>
      </c>
      <c r="T27" s="2">
        <f t="shared" si="2"/>
        <v>885</v>
      </c>
    </row>
    <row r="28" spans="1:28" x14ac:dyDescent="0.2">
      <c r="A28" s="5" t="s">
        <v>84</v>
      </c>
      <c r="B28" s="3">
        <v>46220</v>
      </c>
      <c r="C28" s="21" t="s">
        <v>85</v>
      </c>
      <c r="D28" s="5" t="str" cm="1">
        <f t="array" ref="D28:F28">_xlfn.TEXTSPLIT(TRIM(C28),"-")</f>
        <v>C027</v>
      </c>
      <c r="E28" s="21" t="str">
        <v>Mohammed</v>
      </c>
      <c r="F28" s="21" t="str">
        <v>Kochi</v>
      </c>
      <c r="G28" s="21" t="s">
        <v>31</v>
      </c>
      <c r="H28" s="5" t="str" cm="1">
        <f t="array" ref="H28:I28">_xlfn.TEXTSPLIT(TRIM(G28),"-")</f>
        <v>P106</v>
      </c>
      <c r="I28" s="21" t="str">
        <v>Printer</v>
      </c>
      <c r="J28" s="21" t="s">
        <v>64</v>
      </c>
      <c r="K28" s="4">
        <v>2</v>
      </c>
      <c r="L28" s="31">
        <v>12500</v>
      </c>
      <c r="M28" s="21" t="s">
        <v>27</v>
      </c>
      <c r="N28" s="30" t="s">
        <v>34</v>
      </c>
      <c r="O28" s="21" t="str">
        <f>VLOOKUP(H28,Product_Master!$A:$E,3,FALSE)</f>
        <v>Electronics</v>
      </c>
      <c r="P28" s="21" t="str">
        <f>VLOOKUP(H28,Product_Master!$A:$E,4,FALSE)</f>
        <v>Canon</v>
      </c>
      <c r="Q28" s="5">
        <f>VLOOKUP(H28,Product_Master!$A:$E,5,FALSE)</f>
        <v>0.18</v>
      </c>
      <c r="R28" s="2">
        <f t="shared" si="0"/>
        <v>25000</v>
      </c>
      <c r="S28" s="2">
        <f t="shared" si="1"/>
        <v>4500</v>
      </c>
      <c r="T28" s="2">
        <f t="shared" si="2"/>
        <v>29500</v>
      </c>
      <c r="V28" s="8" t="s">
        <v>588</v>
      </c>
      <c r="W28" s="10" t="s">
        <v>590</v>
      </c>
    </row>
    <row r="29" spans="1:28" x14ac:dyDescent="0.2">
      <c r="A29" s="5" t="s">
        <v>86</v>
      </c>
      <c r="B29" s="3">
        <v>46229</v>
      </c>
      <c r="C29" s="21" t="s">
        <v>87</v>
      </c>
      <c r="D29" s="5" t="str" cm="1">
        <f t="array" ref="D29:F29">_xlfn.TEXTSPLIT(TRIM(C29),"-")</f>
        <v>C028</v>
      </c>
      <c r="E29" s="21" t="str">
        <v>Arjun</v>
      </c>
      <c r="F29" s="21" t="str">
        <v>Kozhikode</v>
      </c>
      <c r="G29" s="21" t="s">
        <v>88</v>
      </c>
      <c r="H29" s="5" t="str" cm="1">
        <f t="array" ref="H29:I29">_xlfn.TEXTSPLIT(TRIM(G29),"-")</f>
        <v>P108</v>
      </c>
      <c r="I29" s="21" t="str">
        <v>SSD</v>
      </c>
      <c r="J29" s="21" t="s">
        <v>71</v>
      </c>
      <c r="K29" s="4">
        <v>4</v>
      </c>
      <c r="L29" s="31">
        <v>6500</v>
      </c>
      <c r="M29" s="21" t="s">
        <v>23</v>
      </c>
      <c r="N29" s="30" t="s">
        <v>14</v>
      </c>
      <c r="O29" s="21" t="str">
        <f>VLOOKUP(H29,Product_Master!$A:$E,3,FALSE)</f>
        <v>Storage</v>
      </c>
      <c r="P29" s="21" t="str">
        <f>VLOOKUP(H29,Product_Master!$A:$E,4,FALSE)</f>
        <v>Samsung</v>
      </c>
      <c r="Q29" s="5">
        <f>VLOOKUP(H29,Product_Master!$A:$E,5,FALSE)</f>
        <v>0.18</v>
      </c>
      <c r="R29" s="2">
        <f t="shared" si="0"/>
        <v>26000</v>
      </c>
      <c r="S29" s="2">
        <f t="shared" si="1"/>
        <v>4680</v>
      </c>
      <c r="T29" s="2">
        <f t="shared" si="2"/>
        <v>30680</v>
      </c>
    </row>
    <row r="30" spans="1:28" x14ac:dyDescent="0.2">
      <c r="A30" s="5" t="s">
        <v>89</v>
      </c>
      <c r="B30" s="3">
        <v>46217</v>
      </c>
      <c r="C30" s="21" t="s">
        <v>90</v>
      </c>
      <c r="D30" s="5" t="str" cm="1">
        <f t="array" ref="D30:F30">_xlfn.TEXTSPLIT(TRIM(C30),"-")</f>
        <v>C029</v>
      </c>
      <c r="E30" s="21" t="str">
        <v>Priya</v>
      </c>
      <c r="F30" s="21" t="str">
        <v>Trivandrum</v>
      </c>
      <c r="G30" s="21" t="s">
        <v>54</v>
      </c>
      <c r="H30" s="5" t="str" cm="1">
        <f t="array" ref="H30:I30">_xlfn.TEXTSPLIT(TRIM(G30),"-")</f>
        <v>P107</v>
      </c>
      <c r="I30" s="21" t="str">
        <v>Webcam</v>
      </c>
      <c r="J30" s="21" t="s">
        <v>12</v>
      </c>
      <c r="K30" s="4">
        <v>6</v>
      </c>
      <c r="L30" s="31">
        <v>3500</v>
      </c>
      <c r="M30" s="21" t="s">
        <v>23</v>
      </c>
      <c r="N30" s="30" t="s">
        <v>19</v>
      </c>
      <c r="O30" s="21" t="str">
        <f>VLOOKUP(H30,Product_Master!$A:$E,3,FALSE)</f>
        <v>Electronics</v>
      </c>
      <c r="P30" s="21" t="str">
        <f>VLOOKUP(H30,Product_Master!$A:$E,4,FALSE)</f>
        <v>Logitech</v>
      </c>
      <c r="Q30" s="5">
        <f>VLOOKUP(H30,Product_Master!$A:$E,5,FALSE)</f>
        <v>0.18</v>
      </c>
      <c r="R30" s="2">
        <f t="shared" si="0"/>
        <v>21000</v>
      </c>
      <c r="S30" s="2">
        <f t="shared" si="1"/>
        <v>3780</v>
      </c>
      <c r="T30" s="2">
        <f t="shared" si="2"/>
        <v>24780</v>
      </c>
    </row>
    <row r="31" spans="1:28" x14ac:dyDescent="0.2">
      <c r="A31" s="5" t="s">
        <v>91</v>
      </c>
      <c r="B31" s="3">
        <v>46227</v>
      </c>
      <c r="C31" s="21" t="s">
        <v>92</v>
      </c>
      <c r="D31" s="5" t="str" cm="1">
        <f t="array" ref="D31:F31">_xlfn.TEXTSPLIT(TRIM(C31),"-")</f>
        <v>C030</v>
      </c>
      <c r="E31" s="21" t="str">
        <v>Farhan</v>
      </c>
      <c r="F31" s="21" t="str">
        <v>Trivandrum</v>
      </c>
      <c r="G31" s="21" t="s">
        <v>11</v>
      </c>
      <c r="H31" s="5" t="str" cm="1">
        <f t="array" ref="H31:I31">_xlfn.TEXTSPLIT(TRIM(G31),"-")</f>
        <v>P101</v>
      </c>
      <c r="I31" s="21" t="str">
        <v>Laptop</v>
      </c>
      <c r="J31" s="21" t="s">
        <v>12</v>
      </c>
      <c r="K31" s="4">
        <v>7</v>
      </c>
      <c r="L31" s="31">
        <v>55000</v>
      </c>
      <c r="M31" s="21" t="s">
        <v>18</v>
      </c>
      <c r="N31" s="30" t="s">
        <v>14</v>
      </c>
      <c r="O31" s="21" t="str">
        <f>VLOOKUP(H31,Product_Master!$A:$E,3,FALSE)</f>
        <v>Electronics</v>
      </c>
      <c r="P31" s="21" t="str">
        <f>VLOOKUP(H31,Product_Master!$A:$E,4,FALSE)</f>
        <v>Dell</v>
      </c>
      <c r="Q31" s="5">
        <f>VLOOKUP(H31,Product_Master!$A:$E,5,FALSE)</f>
        <v>0.18</v>
      </c>
      <c r="R31" s="2">
        <f t="shared" si="0"/>
        <v>385000</v>
      </c>
      <c r="S31" s="2">
        <f t="shared" si="1"/>
        <v>69300</v>
      </c>
      <c r="T31" s="2">
        <f t="shared" si="2"/>
        <v>454300</v>
      </c>
      <c r="V31" s="12" t="s">
        <v>647</v>
      </c>
      <c r="W31" s="13" t="s">
        <v>581</v>
      </c>
    </row>
    <row r="32" spans="1:28" x14ac:dyDescent="0.2">
      <c r="A32" s="5" t="s">
        <v>93</v>
      </c>
      <c r="B32" s="3">
        <v>46217</v>
      </c>
      <c r="C32" s="21" t="s">
        <v>94</v>
      </c>
      <c r="D32" s="5" t="str" cm="1">
        <f t="array" ref="D32:F32">_xlfn.TEXTSPLIT(TRIM(C32),"-")</f>
        <v>C031</v>
      </c>
      <c r="E32" s="21" t="str">
        <v>Arjun</v>
      </c>
      <c r="F32" s="21" t="str">
        <v>Kannur</v>
      </c>
      <c r="G32" s="21" t="s">
        <v>88</v>
      </c>
      <c r="H32" s="5" t="str" cm="1">
        <f t="array" ref="H32:I32">_xlfn.TEXTSPLIT(TRIM(G32),"-")</f>
        <v>P108</v>
      </c>
      <c r="I32" s="21" t="str">
        <v>SSD</v>
      </c>
      <c r="J32" s="21" t="s">
        <v>22</v>
      </c>
      <c r="K32" s="4">
        <v>3</v>
      </c>
      <c r="L32" s="31">
        <v>6500</v>
      </c>
      <c r="M32" s="21" t="s">
        <v>27</v>
      </c>
      <c r="N32" s="30" t="s">
        <v>34</v>
      </c>
      <c r="O32" s="21" t="str">
        <f>VLOOKUP(H32,Product_Master!$A:$E,3,FALSE)</f>
        <v>Storage</v>
      </c>
      <c r="P32" s="21" t="str">
        <f>VLOOKUP(H32,Product_Master!$A:$E,4,FALSE)</f>
        <v>Samsung</v>
      </c>
      <c r="Q32" s="5">
        <f>VLOOKUP(H32,Product_Master!$A:$E,5,FALSE)</f>
        <v>0.18</v>
      </c>
      <c r="R32" s="2">
        <f t="shared" si="0"/>
        <v>19500</v>
      </c>
      <c r="S32" s="2">
        <f t="shared" si="1"/>
        <v>3510</v>
      </c>
      <c r="T32" s="2">
        <f t="shared" si="2"/>
        <v>23010</v>
      </c>
      <c r="V32" s="8" t="s">
        <v>592</v>
      </c>
      <c r="W32" s="10">
        <f>COUNTIF($M$2:$M$251,V32)</f>
        <v>67</v>
      </c>
    </row>
    <row r="33" spans="1:23" x14ac:dyDescent="0.2">
      <c r="A33" s="5" t="s">
        <v>95</v>
      </c>
      <c r="B33" s="3">
        <v>46207</v>
      </c>
      <c r="C33" s="21" t="s">
        <v>96</v>
      </c>
      <c r="D33" s="5" t="str" cm="1">
        <f t="array" ref="D33:F33">_xlfn.TEXTSPLIT(TRIM(C33),"-")</f>
        <v>C032</v>
      </c>
      <c r="E33" s="21" t="str">
        <v>Divya</v>
      </c>
      <c r="F33" s="21" t="str">
        <v>Trivandrum</v>
      </c>
      <c r="G33" s="21" t="s">
        <v>88</v>
      </c>
      <c r="H33" s="5" t="str" cm="1">
        <f t="array" ref="H33:I33">_xlfn.TEXTSPLIT(TRIM(G33),"-")</f>
        <v>P108</v>
      </c>
      <c r="I33" s="21" t="str">
        <v>SSD</v>
      </c>
      <c r="J33" s="21" t="s">
        <v>12</v>
      </c>
      <c r="K33" s="4">
        <v>9</v>
      </c>
      <c r="L33" s="31">
        <v>6500</v>
      </c>
      <c r="M33" s="21" t="s">
        <v>18</v>
      </c>
      <c r="N33" s="30" t="s">
        <v>19</v>
      </c>
      <c r="O33" s="21" t="str">
        <f>VLOOKUP(H33,Product_Master!$A:$E,3,FALSE)</f>
        <v>Storage</v>
      </c>
      <c r="P33" s="21" t="str">
        <f>VLOOKUP(H33,Product_Master!$A:$E,4,FALSE)</f>
        <v>Samsung</v>
      </c>
      <c r="Q33" s="5">
        <f>VLOOKUP(H33,Product_Master!$A:$E,5,FALSE)</f>
        <v>0.18</v>
      </c>
      <c r="R33" s="2">
        <f t="shared" si="0"/>
        <v>58500</v>
      </c>
      <c r="S33" s="2">
        <f t="shared" si="1"/>
        <v>10530</v>
      </c>
      <c r="T33" s="2">
        <f t="shared" si="2"/>
        <v>69030</v>
      </c>
      <c r="V33" s="8" t="s">
        <v>593</v>
      </c>
      <c r="W33" s="10">
        <f>COUNTIF($M$2:$M$251,V33)</f>
        <v>66</v>
      </c>
    </row>
    <row r="34" spans="1:23" x14ac:dyDescent="0.2">
      <c r="A34" s="5" t="s">
        <v>97</v>
      </c>
      <c r="B34" s="3">
        <v>46219</v>
      </c>
      <c r="C34" s="21" t="s">
        <v>98</v>
      </c>
      <c r="D34" s="5" t="str" cm="1">
        <f t="array" ref="D34:F34">_xlfn.TEXTSPLIT(TRIM(C34),"-")</f>
        <v>C033</v>
      </c>
      <c r="E34" s="21" t="str">
        <v>Divya</v>
      </c>
      <c r="F34" s="21" t="str">
        <v>Kozhikode</v>
      </c>
      <c r="G34" s="21" t="s">
        <v>54</v>
      </c>
      <c r="H34" s="5" t="str" cm="1">
        <f t="array" ref="H34:I34">_xlfn.TEXTSPLIT(TRIM(G34),"-")</f>
        <v>P107</v>
      </c>
      <c r="I34" s="21" t="str">
        <v>Webcam</v>
      </c>
      <c r="J34" s="21" t="s">
        <v>71</v>
      </c>
      <c r="K34" s="4">
        <v>8</v>
      </c>
      <c r="L34" s="31">
        <v>3500</v>
      </c>
      <c r="M34" s="21" t="s">
        <v>23</v>
      </c>
      <c r="N34" s="30" t="s">
        <v>19</v>
      </c>
      <c r="O34" s="21" t="str">
        <f>VLOOKUP(H34,Product_Master!$A:$E,3,FALSE)</f>
        <v>Electronics</v>
      </c>
      <c r="P34" s="21" t="str">
        <f>VLOOKUP(H34,Product_Master!$A:$E,4,FALSE)</f>
        <v>Logitech</v>
      </c>
      <c r="Q34" s="5">
        <f>VLOOKUP(H34,Product_Master!$A:$E,5,FALSE)</f>
        <v>0.18</v>
      </c>
      <c r="R34" s="2">
        <f t="shared" si="0"/>
        <v>28000</v>
      </c>
      <c r="S34" s="2">
        <f t="shared" si="1"/>
        <v>5040</v>
      </c>
      <c r="T34" s="2">
        <f t="shared" si="2"/>
        <v>33040</v>
      </c>
      <c r="V34" s="8" t="s">
        <v>18</v>
      </c>
      <c r="W34" s="10">
        <f>COUNTIF($M$2:$M$251,V34)</f>
        <v>61</v>
      </c>
    </row>
    <row r="35" spans="1:23" x14ac:dyDescent="0.2">
      <c r="A35" s="5" t="s">
        <v>99</v>
      </c>
      <c r="B35" s="3">
        <v>46212</v>
      </c>
      <c r="C35" s="21" t="s">
        <v>100</v>
      </c>
      <c r="D35" s="5" t="str" cm="1">
        <f t="array" ref="D35:F35">_xlfn.TEXTSPLIT(TRIM(C35),"-")</f>
        <v>C034</v>
      </c>
      <c r="E35" s="21" t="str">
        <v>Neha</v>
      </c>
      <c r="F35" s="21" t="str">
        <v>Thrissur</v>
      </c>
      <c r="G35" s="21" t="s">
        <v>11</v>
      </c>
      <c r="H35" s="5" t="str" cm="1">
        <f t="array" ref="H35:I35">_xlfn.TEXTSPLIT(TRIM(G35),"-")</f>
        <v>P101</v>
      </c>
      <c r="I35" s="21" t="str">
        <v>Laptop</v>
      </c>
      <c r="J35" s="21" t="s">
        <v>51</v>
      </c>
      <c r="K35" s="4">
        <v>7</v>
      </c>
      <c r="L35" s="31">
        <v>55000</v>
      </c>
      <c r="M35" s="21" t="s">
        <v>27</v>
      </c>
      <c r="N35" s="30" t="s">
        <v>34</v>
      </c>
      <c r="O35" s="21" t="str">
        <f>VLOOKUP(H35,Product_Master!$A:$E,3,FALSE)</f>
        <v>Electronics</v>
      </c>
      <c r="P35" s="21" t="str">
        <f>VLOOKUP(H35,Product_Master!$A:$E,4,FALSE)</f>
        <v>Dell</v>
      </c>
      <c r="Q35" s="5">
        <f>VLOOKUP(H35,Product_Master!$A:$E,5,FALSE)</f>
        <v>0.18</v>
      </c>
      <c r="R35" s="2">
        <f t="shared" si="0"/>
        <v>385000</v>
      </c>
      <c r="S35" s="2">
        <f t="shared" si="1"/>
        <v>69300</v>
      </c>
      <c r="T35" s="2">
        <f t="shared" si="2"/>
        <v>454300</v>
      </c>
      <c r="V35" s="8" t="s">
        <v>591</v>
      </c>
      <c r="W35" s="10">
        <f>COUNTIF($M$2:$M$251,V35)</f>
        <v>56</v>
      </c>
    </row>
    <row r="36" spans="1:23" x14ac:dyDescent="0.2">
      <c r="A36" s="5" t="s">
        <v>101</v>
      </c>
      <c r="B36" s="3">
        <v>46213</v>
      </c>
      <c r="C36" s="21" t="s">
        <v>102</v>
      </c>
      <c r="D36" s="5" t="str" cm="1">
        <f t="array" ref="D36:F36">_xlfn.TEXTSPLIT(TRIM(C36),"-")</f>
        <v>C035</v>
      </c>
      <c r="E36" s="21" t="str">
        <v>Swathi</v>
      </c>
      <c r="F36" s="21" t="str">
        <v>Alappuzha</v>
      </c>
      <c r="G36" s="21" t="s">
        <v>45</v>
      </c>
      <c r="H36" s="5" t="str" cm="1">
        <f t="array" ref="H36:I36">_xlfn.TEXTSPLIT(TRIM(G36),"-")</f>
        <v>P103</v>
      </c>
      <c r="I36" s="21" t="str">
        <v>Keyboard</v>
      </c>
      <c r="J36" s="21" t="s">
        <v>42</v>
      </c>
      <c r="K36" s="4">
        <v>4</v>
      </c>
      <c r="L36" s="31">
        <v>1200</v>
      </c>
      <c r="M36" s="21" t="s">
        <v>18</v>
      </c>
      <c r="N36" s="30" t="s">
        <v>61</v>
      </c>
      <c r="O36" s="21" t="str">
        <f>VLOOKUP(H36,Product_Master!$A:$E,3,FALSE)</f>
        <v>Accessories</v>
      </c>
      <c r="P36" s="21" t="str">
        <f>VLOOKUP(H36,Product_Master!$A:$E,4,FALSE)</f>
        <v>Logitech</v>
      </c>
      <c r="Q36" s="5">
        <f>VLOOKUP(H36,Product_Master!$A:$E,5,FALSE)</f>
        <v>0.18</v>
      </c>
      <c r="R36" s="2">
        <f t="shared" si="0"/>
        <v>4800</v>
      </c>
      <c r="S36" s="2">
        <f t="shared" si="1"/>
        <v>864</v>
      </c>
      <c r="T36" s="2">
        <f t="shared" si="2"/>
        <v>5664</v>
      </c>
    </row>
    <row r="37" spans="1:23" x14ac:dyDescent="0.2">
      <c r="A37" s="5" t="s">
        <v>103</v>
      </c>
      <c r="B37" s="3">
        <v>46205</v>
      </c>
      <c r="C37" s="21" t="s">
        <v>104</v>
      </c>
      <c r="D37" s="5" t="str" cm="1">
        <f t="array" ref="D37:F37">_xlfn.TEXTSPLIT(TRIM(C37),"-")</f>
        <v>C036</v>
      </c>
      <c r="E37" s="21" t="str">
        <v>Joel</v>
      </c>
      <c r="F37" s="21" t="str">
        <v>Kochi</v>
      </c>
      <c r="G37" s="21" t="s">
        <v>31</v>
      </c>
      <c r="H37" s="5" t="str" cm="1">
        <f t="array" ref="H37:I37">_xlfn.TEXTSPLIT(TRIM(G37),"-")</f>
        <v>P106</v>
      </c>
      <c r="I37" s="21" t="str">
        <v>Printer</v>
      </c>
      <c r="J37" s="21" t="s">
        <v>64</v>
      </c>
      <c r="K37" s="4">
        <v>1</v>
      </c>
      <c r="L37" s="31">
        <v>12500</v>
      </c>
      <c r="M37" s="21" t="s">
        <v>23</v>
      </c>
      <c r="N37" s="30" t="s">
        <v>61</v>
      </c>
      <c r="O37" s="21" t="str">
        <f>VLOOKUP(H37,Product_Master!$A:$E,3,FALSE)</f>
        <v>Electronics</v>
      </c>
      <c r="P37" s="21" t="str">
        <f>VLOOKUP(H37,Product_Master!$A:$E,4,FALSE)</f>
        <v>Canon</v>
      </c>
      <c r="Q37" s="5">
        <f>VLOOKUP(H37,Product_Master!$A:$E,5,FALSE)</f>
        <v>0.18</v>
      </c>
      <c r="R37" s="2">
        <f t="shared" si="0"/>
        <v>12500</v>
      </c>
      <c r="S37" s="2">
        <f t="shared" si="1"/>
        <v>2250</v>
      </c>
      <c r="T37" s="2">
        <f t="shared" si="2"/>
        <v>14750</v>
      </c>
    </row>
    <row r="38" spans="1:23" x14ac:dyDescent="0.2">
      <c r="A38" s="5" t="s">
        <v>105</v>
      </c>
      <c r="B38" s="3">
        <v>46206</v>
      </c>
      <c r="C38" s="21" t="s">
        <v>106</v>
      </c>
      <c r="D38" s="5" t="str" cm="1">
        <f t="array" ref="D38:F38">_xlfn.TEXTSPLIT(TRIM(C38),"-")</f>
        <v>C037</v>
      </c>
      <c r="E38" s="21" t="str">
        <v>Meera</v>
      </c>
      <c r="F38" s="21" t="str">
        <v>Kozhikode</v>
      </c>
      <c r="G38" s="21" t="s">
        <v>11</v>
      </c>
      <c r="H38" s="5" t="str" cm="1">
        <f t="array" ref="H38:I38">_xlfn.TEXTSPLIT(TRIM(G38),"-")</f>
        <v>P101</v>
      </c>
      <c r="I38" s="21" t="str">
        <v>Laptop</v>
      </c>
      <c r="J38" s="21" t="s">
        <v>71</v>
      </c>
      <c r="K38" s="4">
        <v>9</v>
      </c>
      <c r="L38" s="31">
        <v>55000</v>
      </c>
      <c r="M38" s="21" t="s">
        <v>18</v>
      </c>
      <c r="N38" s="30" t="s">
        <v>61</v>
      </c>
      <c r="O38" s="21" t="str">
        <f>VLOOKUP(H38,Product_Master!$A:$E,3,FALSE)</f>
        <v>Electronics</v>
      </c>
      <c r="P38" s="21" t="str">
        <f>VLOOKUP(H38,Product_Master!$A:$E,4,FALSE)</f>
        <v>Dell</v>
      </c>
      <c r="Q38" s="5">
        <f>VLOOKUP(H38,Product_Master!$A:$E,5,FALSE)</f>
        <v>0.18</v>
      </c>
      <c r="R38" s="2">
        <f t="shared" si="0"/>
        <v>495000</v>
      </c>
      <c r="S38" s="2">
        <f t="shared" si="1"/>
        <v>89100</v>
      </c>
      <c r="T38" s="2">
        <f t="shared" si="2"/>
        <v>584100</v>
      </c>
      <c r="V38" s="12" t="s">
        <v>646</v>
      </c>
      <c r="W38" s="13" t="s">
        <v>595</v>
      </c>
    </row>
    <row r="39" spans="1:23" x14ac:dyDescent="0.2">
      <c r="A39" s="5" t="s">
        <v>107</v>
      </c>
      <c r="B39" s="3">
        <v>46234</v>
      </c>
      <c r="C39" s="21" t="s">
        <v>108</v>
      </c>
      <c r="D39" s="5" t="str" cm="1">
        <f t="array" ref="D39:F39">_xlfn.TEXTSPLIT(TRIM(C39),"-")</f>
        <v>C038</v>
      </c>
      <c r="E39" s="21" t="str">
        <v>Mohammed</v>
      </c>
      <c r="F39" s="21" t="str">
        <v>Kannur</v>
      </c>
      <c r="G39" s="21" t="s">
        <v>54</v>
      </c>
      <c r="H39" s="5" t="str" cm="1">
        <f t="array" ref="H39:I39">_xlfn.TEXTSPLIT(TRIM(G39),"-")</f>
        <v>P107</v>
      </c>
      <c r="I39" s="21" t="str">
        <v>Webcam</v>
      </c>
      <c r="J39" s="21" t="s">
        <v>22</v>
      </c>
      <c r="K39" s="4">
        <v>2</v>
      </c>
      <c r="L39" s="31">
        <v>3500</v>
      </c>
      <c r="M39" s="21" t="s">
        <v>13</v>
      </c>
      <c r="N39" s="30" t="s">
        <v>61</v>
      </c>
      <c r="O39" s="21" t="str">
        <f>VLOOKUP(H39,Product_Master!$A:$E,3,FALSE)</f>
        <v>Electronics</v>
      </c>
      <c r="P39" s="21" t="str">
        <f>VLOOKUP(H39,Product_Master!$A:$E,4,FALSE)</f>
        <v>Logitech</v>
      </c>
      <c r="Q39" s="5">
        <f>VLOOKUP(H39,Product_Master!$A:$E,5,FALSE)</f>
        <v>0.18</v>
      </c>
      <c r="R39" s="2">
        <f t="shared" si="0"/>
        <v>7000</v>
      </c>
      <c r="S39" s="2">
        <f t="shared" si="1"/>
        <v>1260</v>
      </c>
      <c r="T39" s="2">
        <f t="shared" si="2"/>
        <v>8260</v>
      </c>
      <c r="V39" s="8" t="s">
        <v>598</v>
      </c>
      <c r="W39" s="11">
        <f>SUMIF($N$2:$N$251,V39,$R$2:$R$251)</f>
        <v>5441050</v>
      </c>
    </row>
    <row r="40" spans="1:23" x14ac:dyDescent="0.2">
      <c r="A40" s="5" t="s">
        <v>109</v>
      </c>
      <c r="B40" s="3">
        <v>46225</v>
      </c>
      <c r="C40" s="21" t="s">
        <v>110</v>
      </c>
      <c r="D40" s="5" t="str" cm="1">
        <f t="array" ref="D40:F40">_xlfn.TEXTSPLIT(TRIM(C40),"-")</f>
        <v>C039</v>
      </c>
      <c r="E40" s="21" t="str">
        <v>Adithya</v>
      </c>
      <c r="F40" s="21" t="str">
        <v>Kochi</v>
      </c>
      <c r="G40" s="21" t="s">
        <v>17</v>
      </c>
      <c r="H40" s="5" t="str" cm="1">
        <f t="array" ref="H40:I40">_xlfn.TEXTSPLIT(TRIM(G40),"-")</f>
        <v>P102</v>
      </c>
      <c r="I40" s="21" t="str">
        <v>Monitor</v>
      </c>
      <c r="J40" s="21" t="s">
        <v>64</v>
      </c>
      <c r="K40" s="4">
        <v>7</v>
      </c>
      <c r="L40" s="31">
        <v>15000</v>
      </c>
      <c r="M40" s="21" t="s">
        <v>27</v>
      </c>
      <c r="N40" s="30" t="s">
        <v>28</v>
      </c>
      <c r="O40" s="21" t="str">
        <f>VLOOKUP(H40,Product_Master!$A:$E,3,FALSE)</f>
        <v>Electronics</v>
      </c>
      <c r="P40" s="21" t="str">
        <f>VLOOKUP(H40,Product_Master!$A:$E,4,FALSE)</f>
        <v>LG</v>
      </c>
      <c r="Q40" s="5">
        <f>VLOOKUP(H40,Product_Master!$A:$E,5,FALSE)</f>
        <v>0.18</v>
      </c>
      <c r="R40" s="2">
        <f t="shared" si="0"/>
        <v>105000</v>
      </c>
      <c r="S40" s="2">
        <f t="shared" si="1"/>
        <v>18900</v>
      </c>
      <c r="T40" s="2">
        <f t="shared" si="2"/>
        <v>123900</v>
      </c>
      <c r="V40" s="8" t="s">
        <v>600</v>
      </c>
      <c r="W40" s="11">
        <f>SUMIF($N$2:$N$251,V40,$R$2:$R$251)</f>
        <v>4326500</v>
      </c>
    </row>
    <row r="41" spans="1:23" x14ac:dyDescent="0.2">
      <c r="A41" s="5" t="s">
        <v>111</v>
      </c>
      <c r="B41" s="3">
        <v>46216</v>
      </c>
      <c r="C41" s="21" t="s">
        <v>112</v>
      </c>
      <c r="D41" s="5" t="str" cm="1">
        <f t="array" ref="D41:F41">_xlfn.TEXTSPLIT(TRIM(C41),"-")</f>
        <v>C040</v>
      </c>
      <c r="E41" s="21" t="str">
        <v>Arjun</v>
      </c>
      <c r="F41" s="21" t="str">
        <v>Malappuram</v>
      </c>
      <c r="G41" s="21" t="s">
        <v>48</v>
      </c>
      <c r="H41" s="5" t="str" cm="1">
        <f t="array" ref="H41:I41">_xlfn.TEXTSPLIT(TRIM(G41),"-")</f>
        <v>P104</v>
      </c>
      <c r="I41" s="21" t="str">
        <v>Mouse</v>
      </c>
      <c r="J41" s="21" t="s">
        <v>113</v>
      </c>
      <c r="K41" s="4">
        <v>5</v>
      </c>
      <c r="L41" s="31">
        <v>750</v>
      </c>
      <c r="M41" s="21" t="s">
        <v>27</v>
      </c>
      <c r="N41" s="30" t="s">
        <v>34</v>
      </c>
      <c r="O41" s="21" t="str">
        <f>VLOOKUP(H41,Product_Master!$A:$E,3,FALSE)</f>
        <v>Accessories</v>
      </c>
      <c r="P41" s="21" t="str">
        <f>VLOOKUP(H41,Product_Master!$A:$E,4,FALSE)</f>
        <v>HP</v>
      </c>
      <c r="Q41" s="5">
        <f>VLOOKUP(H41,Product_Master!$A:$E,5,FALSE)</f>
        <v>0.18</v>
      </c>
      <c r="R41" s="2">
        <f t="shared" si="0"/>
        <v>3750</v>
      </c>
      <c r="S41" s="2">
        <f t="shared" si="1"/>
        <v>675</v>
      </c>
      <c r="T41" s="2">
        <f t="shared" si="2"/>
        <v>4425</v>
      </c>
      <c r="V41" s="8" t="s">
        <v>597</v>
      </c>
      <c r="W41" s="11">
        <f>SUMIF($N$2:$N$251,V41,$R$2:$R$251)</f>
        <v>4209100</v>
      </c>
    </row>
    <row r="42" spans="1:23" x14ac:dyDescent="0.2">
      <c r="A42" s="5" t="s">
        <v>114</v>
      </c>
      <c r="B42" s="3">
        <v>46223</v>
      </c>
      <c r="C42" s="21" t="s">
        <v>115</v>
      </c>
      <c r="D42" s="5" t="str" cm="1">
        <f t="array" ref="D42:F42">_xlfn.TEXTSPLIT(TRIM(C42),"-")</f>
        <v>C041</v>
      </c>
      <c r="E42" s="21" t="str">
        <v>Nikhil</v>
      </c>
      <c r="F42" s="21" t="str">
        <v>Trivandrum</v>
      </c>
      <c r="G42" s="21" t="s">
        <v>11</v>
      </c>
      <c r="H42" s="5" t="str" cm="1">
        <f t="array" ref="H42:I42">_xlfn.TEXTSPLIT(TRIM(G42),"-")</f>
        <v>P101</v>
      </c>
      <c r="I42" s="21" t="str">
        <v>Laptop</v>
      </c>
      <c r="J42" s="21" t="s">
        <v>12</v>
      </c>
      <c r="K42" s="4">
        <v>8</v>
      </c>
      <c r="L42" s="31">
        <v>55000</v>
      </c>
      <c r="M42" s="21" t="s">
        <v>18</v>
      </c>
      <c r="N42" s="30" t="s">
        <v>19</v>
      </c>
      <c r="O42" s="21" t="str">
        <f>VLOOKUP(H42,Product_Master!$A:$E,3,FALSE)</f>
        <v>Electronics</v>
      </c>
      <c r="P42" s="21" t="str">
        <f>VLOOKUP(H42,Product_Master!$A:$E,4,FALSE)</f>
        <v>Dell</v>
      </c>
      <c r="Q42" s="5">
        <f>VLOOKUP(H42,Product_Master!$A:$E,5,FALSE)</f>
        <v>0.18</v>
      </c>
      <c r="R42" s="2">
        <f t="shared" si="0"/>
        <v>440000</v>
      </c>
      <c r="S42" s="2">
        <f t="shared" si="1"/>
        <v>79200</v>
      </c>
      <c r="T42" s="2">
        <f t="shared" si="2"/>
        <v>519200</v>
      </c>
      <c r="V42" s="8" t="s">
        <v>596</v>
      </c>
      <c r="W42" s="11">
        <f>SUMIF($N$2:$N$251,V42,$R$2:$R$251)</f>
        <v>3734550</v>
      </c>
    </row>
    <row r="43" spans="1:23" x14ac:dyDescent="0.2">
      <c r="A43" s="5" t="s">
        <v>116</v>
      </c>
      <c r="B43" s="3">
        <v>46233</v>
      </c>
      <c r="C43" s="21" t="s">
        <v>117</v>
      </c>
      <c r="D43" s="5" t="str" cm="1">
        <f t="array" ref="D43:F43">_xlfn.TEXTSPLIT(TRIM(C43),"-")</f>
        <v>C042</v>
      </c>
      <c r="E43" s="21" t="str">
        <v>Ravi</v>
      </c>
      <c r="F43" s="21" t="str">
        <v>Kannur</v>
      </c>
      <c r="G43" s="21" t="s">
        <v>39</v>
      </c>
      <c r="H43" s="5" t="str" cm="1">
        <f t="array" ref="H43:I43">_xlfn.TEXTSPLIT(TRIM(G43),"-")</f>
        <v>P105</v>
      </c>
      <c r="I43" s="21" t="str">
        <v>Headphones</v>
      </c>
      <c r="J43" s="21" t="s">
        <v>22</v>
      </c>
      <c r="K43" s="4">
        <v>3</v>
      </c>
      <c r="L43" s="31">
        <v>2500</v>
      </c>
      <c r="M43" s="21" t="s">
        <v>18</v>
      </c>
      <c r="N43" s="30" t="s">
        <v>14</v>
      </c>
      <c r="O43" s="21" t="str">
        <f>VLOOKUP(H43,Product_Master!$A:$E,3,FALSE)</f>
        <v>Accessories</v>
      </c>
      <c r="P43" s="21" t="str">
        <f>VLOOKUP(H43,Product_Master!$A:$E,4,FALSE)</f>
        <v>Sony</v>
      </c>
      <c r="Q43" s="5">
        <f>VLOOKUP(H43,Product_Master!$A:$E,5,FALSE)</f>
        <v>0.18</v>
      </c>
      <c r="R43" s="2">
        <f t="shared" si="0"/>
        <v>7500</v>
      </c>
      <c r="S43" s="2">
        <f t="shared" si="1"/>
        <v>1350</v>
      </c>
      <c r="T43" s="2">
        <f t="shared" si="2"/>
        <v>8850</v>
      </c>
      <c r="V43" s="8" t="s">
        <v>599</v>
      </c>
      <c r="W43" s="11">
        <f>SUMIF($N$2:$N$251,V43,$R$2:$R$251)</f>
        <v>2389350</v>
      </c>
    </row>
    <row r="44" spans="1:23" x14ac:dyDescent="0.2">
      <c r="A44" s="5" t="s">
        <v>118</v>
      </c>
      <c r="B44" s="3">
        <v>46230</v>
      </c>
      <c r="C44" s="21" t="s">
        <v>119</v>
      </c>
      <c r="D44" s="5" t="str" cm="1">
        <f t="array" ref="D44:F44">_xlfn.TEXTSPLIT(TRIM(C44),"-")</f>
        <v>C043</v>
      </c>
      <c r="E44" s="21" t="str">
        <v>Sneha</v>
      </c>
      <c r="F44" s="21" t="str">
        <v>Kollam</v>
      </c>
      <c r="G44" s="21" t="s">
        <v>45</v>
      </c>
      <c r="H44" s="5" t="str" cm="1">
        <f t="array" ref="H44:I44">_xlfn.TEXTSPLIT(TRIM(G44),"-")</f>
        <v>P103</v>
      </c>
      <c r="I44" s="21" t="str">
        <v>Keyboard</v>
      </c>
      <c r="J44" s="21" t="s">
        <v>26</v>
      </c>
      <c r="K44" s="4">
        <v>8</v>
      </c>
      <c r="L44" s="31">
        <v>1200</v>
      </c>
      <c r="M44" s="21" t="s">
        <v>27</v>
      </c>
      <c r="N44" s="30" t="s">
        <v>61</v>
      </c>
      <c r="O44" s="21" t="str">
        <f>VLOOKUP(H44,Product_Master!$A:$E,3,FALSE)</f>
        <v>Accessories</v>
      </c>
      <c r="P44" s="21" t="str">
        <f>VLOOKUP(H44,Product_Master!$A:$E,4,FALSE)</f>
        <v>Logitech</v>
      </c>
      <c r="Q44" s="5">
        <f>VLOOKUP(H44,Product_Master!$A:$E,5,FALSE)</f>
        <v>0.18</v>
      </c>
      <c r="R44" s="2">
        <f t="shared" si="0"/>
        <v>9600</v>
      </c>
      <c r="S44" s="2">
        <f t="shared" si="1"/>
        <v>1728</v>
      </c>
      <c r="T44" s="2">
        <f t="shared" si="2"/>
        <v>11328</v>
      </c>
      <c r="W44" s="11"/>
    </row>
    <row r="45" spans="1:23" x14ac:dyDescent="0.2">
      <c r="A45" s="5" t="s">
        <v>120</v>
      </c>
      <c r="B45" s="3">
        <v>46207</v>
      </c>
      <c r="C45" s="21" t="s">
        <v>121</v>
      </c>
      <c r="D45" s="5" t="str" cm="1">
        <f t="array" ref="D45:F45">_xlfn.TEXTSPLIT(TRIM(C45),"-")</f>
        <v>C044</v>
      </c>
      <c r="E45" s="21" t="str">
        <v>Nandana</v>
      </c>
      <c r="F45" s="21" t="str">
        <v>Kochi</v>
      </c>
      <c r="G45" s="21" t="s">
        <v>39</v>
      </c>
      <c r="H45" s="5" t="str" cm="1">
        <f t="array" ref="H45:I45">_xlfn.TEXTSPLIT(TRIM(G45),"-")</f>
        <v>P105</v>
      </c>
      <c r="I45" s="21" t="str">
        <v>Headphones</v>
      </c>
      <c r="J45" s="21" t="s">
        <v>64</v>
      </c>
      <c r="K45" s="4">
        <v>11</v>
      </c>
      <c r="L45" s="31">
        <v>2500</v>
      </c>
      <c r="M45" s="21" t="s">
        <v>27</v>
      </c>
      <c r="N45" s="30" t="s">
        <v>19</v>
      </c>
      <c r="O45" s="21" t="str">
        <f>VLOOKUP(H45,Product_Master!$A:$E,3,FALSE)</f>
        <v>Accessories</v>
      </c>
      <c r="P45" s="21" t="str">
        <f>VLOOKUP(H45,Product_Master!$A:$E,4,FALSE)</f>
        <v>Sony</v>
      </c>
      <c r="Q45" s="5">
        <f>VLOOKUP(H45,Product_Master!$A:$E,5,FALSE)</f>
        <v>0.18</v>
      </c>
      <c r="R45" s="2">
        <f t="shared" si="0"/>
        <v>27500</v>
      </c>
      <c r="S45" s="2">
        <f t="shared" si="1"/>
        <v>4950</v>
      </c>
      <c r="T45" s="2">
        <f t="shared" si="2"/>
        <v>32450</v>
      </c>
      <c r="V45" s="16" t="s">
        <v>649</v>
      </c>
      <c r="W45" s="10" t="s">
        <v>598</v>
      </c>
    </row>
    <row r="46" spans="1:23" x14ac:dyDescent="0.2">
      <c r="A46" s="5" t="s">
        <v>122</v>
      </c>
      <c r="B46" s="3">
        <v>46223</v>
      </c>
      <c r="C46" s="21" t="s">
        <v>123</v>
      </c>
      <c r="D46" s="5" t="str" cm="1">
        <f t="array" ref="D46:F46">_xlfn.TEXTSPLIT(TRIM(C46),"-")</f>
        <v>C045</v>
      </c>
      <c r="E46" s="21" t="str">
        <v>Priya</v>
      </c>
      <c r="F46" s="21" t="str">
        <v>Kozhikode</v>
      </c>
      <c r="G46" s="21" t="s">
        <v>39</v>
      </c>
      <c r="H46" s="5" t="str" cm="1">
        <f t="array" ref="H46:I46">_xlfn.TEXTSPLIT(TRIM(G46),"-")</f>
        <v>P105</v>
      </c>
      <c r="I46" s="21" t="str">
        <v>Headphones</v>
      </c>
      <c r="J46" s="21" t="s">
        <v>71</v>
      </c>
      <c r="K46" s="4">
        <v>5</v>
      </c>
      <c r="L46" s="31">
        <v>2500</v>
      </c>
      <c r="M46" s="21" t="s">
        <v>27</v>
      </c>
      <c r="N46" s="30" t="s">
        <v>14</v>
      </c>
      <c r="O46" s="21" t="str">
        <f>VLOOKUP(H46,Product_Master!$A:$E,3,FALSE)</f>
        <v>Accessories</v>
      </c>
      <c r="P46" s="21" t="str">
        <f>VLOOKUP(H46,Product_Master!$A:$E,4,FALSE)</f>
        <v>Sony</v>
      </c>
      <c r="Q46" s="5">
        <f>VLOOKUP(H46,Product_Master!$A:$E,5,FALSE)</f>
        <v>0.18</v>
      </c>
      <c r="R46" s="2">
        <f t="shared" si="0"/>
        <v>12500</v>
      </c>
      <c r="S46" s="2">
        <f t="shared" si="1"/>
        <v>2250</v>
      </c>
      <c r="T46" s="2">
        <f t="shared" si="2"/>
        <v>14750</v>
      </c>
    </row>
    <row r="47" spans="1:23" x14ac:dyDescent="0.2">
      <c r="A47" s="5" t="s">
        <v>124</v>
      </c>
      <c r="B47" s="3">
        <v>46232</v>
      </c>
      <c r="C47" s="21" t="s">
        <v>125</v>
      </c>
      <c r="D47" s="5" t="str" cm="1">
        <f t="array" ref="D47:F47">_xlfn.TEXTSPLIT(TRIM(C47),"-")</f>
        <v>C046</v>
      </c>
      <c r="E47" s="21" t="str">
        <v>Farhan</v>
      </c>
      <c r="F47" s="21" t="str">
        <v>Kollam</v>
      </c>
      <c r="G47" s="21" t="s">
        <v>88</v>
      </c>
      <c r="H47" s="5" t="str" cm="1">
        <f t="array" ref="H47:I47">_xlfn.TEXTSPLIT(TRIM(G47),"-")</f>
        <v>P108</v>
      </c>
      <c r="I47" s="21" t="str">
        <v>SSD</v>
      </c>
      <c r="J47" s="21" t="s">
        <v>26</v>
      </c>
      <c r="K47" s="4">
        <v>5</v>
      </c>
      <c r="L47" s="31">
        <v>6500</v>
      </c>
      <c r="M47" s="21" t="s">
        <v>18</v>
      </c>
      <c r="N47" s="30" t="s">
        <v>34</v>
      </c>
      <c r="O47" s="21" t="str">
        <f>VLOOKUP(H47,Product_Master!$A:$E,3,FALSE)</f>
        <v>Storage</v>
      </c>
      <c r="P47" s="21" t="str">
        <f>VLOOKUP(H47,Product_Master!$A:$E,4,FALSE)</f>
        <v>Samsung</v>
      </c>
      <c r="Q47" s="5">
        <f>VLOOKUP(H47,Product_Master!$A:$E,5,FALSE)</f>
        <v>0.18</v>
      </c>
      <c r="R47" s="2">
        <f t="shared" si="0"/>
        <v>32500</v>
      </c>
      <c r="S47" s="2">
        <f t="shared" si="1"/>
        <v>5850</v>
      </c>
      <c r="T47" s="2">
        <f t="shared" si="2"/>
        <v>38350</v>
      </c>
      <c r="V47" s="12" t="s">
        <v>601</v>
      </c>
      <c r="W47" s="13" t="s">
        <v>602</v>
      </c>
    </row>
    <row r="48" spans="1:23" x14ac:dyDescent="0.2">
      <c r="A48" s="5" t="s">
        <v>126</v>
      </c>
      <c r="B48" s="3">
        <v>46228</v>
      </c>
      <c r="C48" s="21" t="s">
        <v>127</v>
      </c>
      <c r="D48" s="5" t="str" cm="1">
        <f t="array" ref="D48:F48">_xlfn.TEXTSPLIT(TRIM(C48),"-")</f>
        <v>C047</v>
      </c>
      <c r="E48" s="21" t="str">
        <v>Sanjay</v>
      </c>
      <c r="F48" s="21" t="str">
        <v>Kochi</v>
      </c>
      <c r="G48" s="21" t="s">
        <v>11</v>
      </c>
      <c r="H48" s="5" t="str" cm="1">
        <f t="array" ref="H48:I48">_xlfn.TEXTSPLIT(TRIM(G48),"-")</f>
        <v>P101</v>
      </c>
      <c r="I48" s="21" t="str">
        <v>Laptop</v>
      </c>
      <c r="J48" s="21" t="s">
        <v>64</v>
      </c>
      <c r="K48" s="4">
        <v>6</v>
      </c>
      <c r="L48" s="31">
        <v>55000</v>
      </c>
      <c r="M48" s="21" t="s">
        <v>27</v>
      </c>
      <c r="N48" s="30" t="s">
        <v>14</v>
      </c>
      <c r="O48" s="21" t="str">
        <f>VLOOKUP(H48,Product_Master!$A:$E,3,FALSE)</f>
        <v>Electronics</v>
      </c>
      <c r="P48" s="21" t="str">
        <f>VLOOKUP(H48,Product_Master!$A:$E,4,FALSE)</f>
        <v>Dell</v>
      </c>
      <c r="Q48" s="5">
        <f>VLOOKUP(H48,Product_Master!$A:$E,5,FALSE)</f>
        <v>0.18</v>
      </c>
      <c r="R48" s="2">
        <f t="shared" si="0"/>
        <v>330000</v>
      </c>
      <c r="S48" s="2">
        <f t="shared" si="1"/>
        <v>59400</v>
      </c>
      <c r="T48" s="2">
        <f t="shared" si="2"/>
        <v>389400</v>
      </c>
      <c r="V48" s="8" t="s">
        <v>603</v>
      </c>
      <c r="W48" s="11">
        <f>SUMIF($O$2:$O$251,V48,$R$2:$R$251)</f>
        <v>17902000</v>
      </c>
    </row>
    <row r="49" spans="1:26" x14ac:dyDescent="0.2">
      <c r="A49" s="5" t="s">
        <v>128</v>
      </c>
      <c r="B49" s="3">
        <v>46204</v>
      </c>
      <c r="C49" s="21" t="s">
        <v>129</v>
      </c>
      <c r="D49" s="5" t="str" cm="1">
        <f t="array" ref="D49:F49">_xlfn.TEXTSPLIT(TRIM(C49),"-")</f>
        <v>C048</v>
      </c>
      <c r="E49" s="21" t="str">
        <v>Joel</v>
      </c>
      <c r="F49" s="21" t="str">
        <v>Alappuzha</v>
      </c>
      <c r="G49" s="21" t="s">
        <v>54</v>
      </c>
      <c r="H49" s="5" t="str" cm="1">
        <f t="array" ref="H49:I49">_xlfn.TEXTSPLIT(TRIM(G49),"-")</f>
        <v>P107</v>
      </c>
      <c r="I49" s="21" t="str">
        <v>Webcam</v>
      </c>
      <c r="J49" s="21" t="s">
        <v>42</v>
      </c>
      <c r="K49" s="4">
        <v>9</v>
      </c>
      <c r="L49" s="31">
        <v>3500</v>
      </c>
      <c r="M49" s="21" t="s">
        <v>18</v>
      </c>
      <c r="N49" s="30" t="s">
        <v>14</v>
      </c>
      <c r="O49" s="21" t="str">
        <f>VLOOKUP(H49,Product_Master!$A:$E,3,FALSE)</f>
        <v>Electronics</v>
      </c>
      <c r="P49" s="21" t="str">
        <f>VLOOKUP(H49,Product_Master!$A:$E,4,FALSE)</f>
        <v>Logitech</v>
      </c>
      <c r="Q49" s="5">
        <f>VLOOKUP(H49,Product_Master!$A:$E,5,FALSE)</f>
        <v>0.18</v>
      </c>
      <c r="R49" s="2">
        <f t="shared" si="0"/>
        <v>31500</v>
      </c>
      <c r="S49" s="2">
        <f t="shared" si="1"/>
        <v>5670</v>
      </c>
      <c r="T49" s="2">
        <f t="shared" si="2"/>
        <v>37170</v>
      </c>
      <c r="V49" s="8" t="s">
        <v>605</v>
      </c>
      <c r="W49" s="11">
        <f>SUMIF($O$2:$O$251,V49,$R$2:$R$251)</f>
        <v>1384500</v>
      </c>
    </row>
    <row r="50" spans="1:26" x14ac:dyDescent="0.2">
      <c r="A50" s="5" t="s">
        <v>130</v>
      </c>
      <c r="B50" s="3">
        <v>46221</v>
      </c>
      <c r="C50" s="21" t="s">
        <v>131</v>
      </c>
      <c r="D50" s="5" t="str" cm="1">
        <f t="array" ref="D50:F50">_xlfn.TEXTSPLIT(TRIM(C50),"-")</f>
        <v>C049</v>
      </c>
      <c r="E50" s="21" t="str">
        <v>Ravi</v>
      </c>
      <c r="F50" s="21" t="str">
        <v>Kochi</v>
      </c>
      <c r="G50" s="21" t="s">
        <v>31</v>
      </c>
      <c r="H50" s="5" t="str" cm="1">
        <f t="array" ref="H50:I50">_xlfn.TEXTSPLIT(TRIM(G50),"-")</f>
        <v>P106</v>
      </c>
      <c r="I50" s="21" t="str">
        <v>Printer</v>
      </c>
      <c r="J50" s="21" t="s">
        <v>64</v>
      </c>
      <c r="K50" s="4">
        <v>10</v>
      </c>
      <c r="L50" s="31">
        <v>12500</v>
      </c>
      <c r="M50" s="21" t="s">
        <v>23</v>
      </c>
      <c r="N50" s="30" t="s">
        <v>14</v>
      </c>
      <c r="O50" s="21" t="str">
        <f>VLOOKUP(H50,Product_Master!$A:$E,3,FALSE)</f>
        <v>Electronics</v>
      </c>
      <c r="P50" s="21" t="str">
        <f>VLOOKUP(H50,Product_Master!$A:$E,4,FALSE)</f>
        <v>Canon</v>
      </c>
      <c r="Q50" s="5">
        <f>VLOOKUP(H50,Product_Master!$A:$E,5,FALSE)</f>
        <v>0.18</v>
      </c>
      <c r="R50" s="2">
        <f t="shared" si="0"/>
        <v>125000</v>
      </c>
      <c r="S50" s="2">
        <f t="shared" si="1"/>
        <v>22500</v>
      </c>
      <c r="T50" s="2">
        <f t="shared" si="2"/>
        <v>147500</v>
      </c>
      <c r="V50" s="8" t="s">
        <v>604</v>
      </c>
      <c r="W50" s="11">
        <f>SUMIF($O$2:$O$251,V50,$R$2:$R$251)</f>
        <v>814050</v>
      </c>
    </row>
    <row r="51" spans="1:26" x14ac:dyDescent="0.2">
      <c r="A51" s="5" t="s">
        <v>132</v>
      </c>
      <c r="B51" s="3">
        <v>46232</v>
      </c>
      <c r="C51" s="21" t="s">
        <v>133</v>
      </c>
      <c r="D51" s="5" t="str" cm="1">
        <f t="array" ref="D51:F51">_xlfn.TEXTSPLIT(TRIM(C51),"-")</f>
        <v>C050</v>
      </c>
      <c r="E51" s="21" t="str">
        <v>Anjali</v>
      </c>
      <c r="F51" s="21" t="str">
        <v>Kollam</v>
      </c>
      <c r="G51" s="21" t="s">
        <v>31</v>
      </c>
      <c r="H51" s="5" t="str" cm="1">
        <f t="array" ref="H51:I51">_xlfn.TEXTSPLIT(TRIM(G51),"-")</f>
        <v>P106</v>
      </c>
      <c r="I51" s="21" t="str">
        <v>Printer</v>
      </c>
      <c r="J51" s="21" t="s">
        <v>26</v>
      </c>
      <c r="K51" s="4">
        <v>1</v>
      </c>
      <c r="L51" s="31">
        <v>12500</v>
      </c>
      <c r="M51" s="21" t="s">
        <v>13</v>
      </c>
      <c r="N51" s="30" t="s">
        <v>14</v>
      </c>
      <c r="O51" s="21" t="str">
        <f>VLOOKUP(H51,Product_Master!$A:$E,3,FALSE)</f>
        <v>Electronics</v>
      </c>
      <c r="P51" s="21" t="str">
        <f>VLOOKUP(H51,Product_Master!$A:$E,4,FALSE)</f>
        <v>Canon</v>
      </c>
      <c r="Q51" s="5">
        <f>VLOOKUP(H51,Product_Master!$A:$E,5,FALSE)</f>
        <v>0.18</v>
      </c>
      <c r="R51" s="2">
        <f t="shared" si="0"/>
        <v>12500</v>
      </c>
      <c r="S51" s="2">
        <f t="shared" si="1"/>
        <v>2250</v>
      </c>
      <c r="T51" s="2">
        <f t="shared" si="2"/>
        <v>14750</v>
      </c>
      <c r="W51" s="11"/>
    </row>
    <row r="52" spans="1:26" x14ac:dyDescent="0.2">
      <c r="A52" s="5" t="s">
        <v>134</v>
      </c>
      <c r="B52" s="3">
        <v>46232</v>
      </c>
      <c r="C52" s="21" t="s">
        <v>135</v>
      </c>
      <c r="D52" s="5" t="str" cm="1">
        <f t="array" ref="D52:F52">_xlfn.TEXTSPLIT(TRIM(C52),"-")</f>
        <v>C051</v>
      </c>
      <c r="E52" s="21" t="str">
        <v>Farhan</v>
      </c>
      <c r="F52" s="21" t="str">
        <v>Trivandrum</v>
      </c>
      <c r="G52" s="21" t="s">
        <v>31</v>
      </c>
      <c r="H52" s="5" t="str" cm="1">
        <f t="array" ref="H52:I52">_xlfn.TEXTSPLIT(TRIM(G52),"-")</f>
        <v>P106</v>
      </c>
      <c r="I52" s="21" t="str">
        <v>Printer</v>
      </c>
      <c r="J52" s="21" t="s">
        <v>12</v>
      </c>
      <c r="K52" s="4">
        <v>9</v>
      </c>
      <c r="L52" s="31">
        <v>12500</v>
      </c>
      <c r="M52" s="21" t="s">
        <v>13</v>
      </c>
      <c r="N52" s="30" t="s">
        <v>14</v>
      </c>
      <c r="O52" s="21" t="str">
        <f>VLOOKUP(H52,Product_Master!$A:$E,3,FALSE)</f>
        <v>Electronics</v>
      </c>
      <c r="P52" s="21" t="str">
        <f>VLOOKUP(H52,Product_Master!$A:$E,4,FALSE)</f>
        <v>Canon</v>
      </c>
      <c r="Q52" s="5">
        <f>VLOOKUP(H52,Product_Master!$A:$E,5,FALSE)</f>
        <v>0.18</v>
      </c>
      <c r="R52" s="2">
        <f t="shared" si="0"/>
        <v>112500</v>
      </c>
      <c r="S52" s="2">
        <f t="shared" si="1"/>
        <v>20250</v>
      </c>
      <c r="T52" s="2">
        <f t="shared" si="2"/>
        <v>132750</v>
      </c>
      <c r="V52" s="15" t="s">
        <v>606</v>
      </c>
      <c r="W52" s="10" t="s">
        <v>603</v>
      </c>
    </row>
    <row r="53" spans="1:26" x14ac:dyDescent="0.2">
      <c r="A53" s="5" t="s">
        <v>136</v>
      </c>
      <c r="B53" s="3">
        <v>46209</v>
      </c>
      <c r="C53" s="21" t="s">
        <v>137</v>
      </c>
      <c r="D53" s="5" t="str" cm="1">
        <f t="array" ref="D53:F53">_xlfn.TEXTSPLIT(TRIM(C53),"-")</f>
        <v>C052</v>
      </c>
      <c r="E53" s="21" t="str">
        <v>Neha</v>
      </c>
      <c r="F53" s="21" t="str">
        <v>Kozhikode</v>
      </c>
      <c r="G53" s="21" t="s">
        <v>54</v>
      </c>
      <c r="H53" s="5" t="str" cm="1">
        <f t="array" ref="H53:I53">_xlfn.TEXTSPLIT(TRIM(G53),"-")</f>
        <v>P107</v>
      </c>
      <c r="I53" s="21" t="str">
        <v>Webcam</v>
      </c>
      <c r="J53" s="21" t="s">
        <v>71</v>
      </c>
      <c r="K53" s="4">
        <v>1</v>
      </c>
      <c r="L53" s="31">
        <v>3500</v>
      </c>
      <c r="M53" s="21" t="s">
        <v>27</v>
      </c>
      <c r="N53" s="30" t="s">
        <v>34</v>
      </c>
      <c r="O53" s="21" t="str">
        <f>VLOOKUP(H53,Product_Master!$A:$E,3,FALSE)</f>
        <v>Electronics</v>
      </c>
      <c r="P53" s="21" t="str">
        <f>VLOOKUP(H53,Product_Master!$A:$E,4,FALSE)</f>
        <v>Logitech</v>
      </c>
      <c r="Q53" s="5">
        <f>VLOOKUP(H53,Product_Master!$A:$E,5,FALSE)</f>
        <v>0.18</v>
      </c>
      <c r="R53" s="2">
        <f t="shared" si="0"/>
        <v>3500</v>
      </c>
      <c r="S53" s="2">
        <f t="shared" si="1"/>
        <v>630</v>
      </c>
      <c r="T53" s="2">
        <f t="shared" si="2"/>
        <v>4130</v>
      </c>
    </row>
    <row r="54" spans="1:26" x14ac:dyDescent="0.2">
      <c r="A54" s="5" t="s">
        <v>138</v>
      </c>
      <c r="B54" s="3">
        <v>46229</v>
      </c>
      <c r="C54" s="21" t="s">
        <v>139</v>
      </c>
      <c r="D54" s="5" t="str" cm="1">
        <f t="array" ref="D54:F54">_xlfn.TEXTSPLIT(TRIM(C54),"-")</f>
        <v>C053</v>
      </c>
      <c r="E54" s="21" t="str">
        <v>Farhan</v>
      </c>
      <c r="F54" s="21" t="str">
        <v>Kannur</v>
      </c>
      <c r="G54" s="21" t="s">
        <v>140</v>
      </c>
      <c r="H54" s="5" t="str" cm="1">
        <f t="array" ref="H54:I54">_xlfn.TEXTSPLIT(TRIM(G54),"-")</f>
        <v>P105</v>
      </c>
      <c r="I54" s="21" t="str">
        <v>Headphones</v>
      </c>
      <c r="J54" s="21" t="s">
        <v>22</v>
      </c>
      <c r="K54" s="4">
        <v>3</v>
      </c>
      <c r="L54" s="31">
        <v>2500</v>
      </c>
      <c r="M54" s="21" t="s">
        <v>18</v>
      </c>
      <c r="N54" s="30" t="s">
        <v>34</v>
      </c>
      <c r="O54" s="21" t="str">
        <f>VLOOKUP(H54,Product_Master!$A:$E,3,FALSE)</f>
        <v>Accessories</v>
      </c>
      <c r="P54" s="21" t="str">
        <f>VLOOKUP(H54,Product_Master!$A:$E,4,FALSE)</f>
        <v>Sony</v>
      </c>
      <c r="Q54" s="5">
        <f>VLOOKUP(H54,Product_Master!$A:$E,5,FALSE)</f>
        <v>0.18</v>
      </c>
      <c r="R54" s="2">
        <f t="shared" si="0"/>
        <v>7500</v>
      </c>
      <c r="S54" s="2">
        <f t="shared" si="1"/>
        <v>1350</v>
      </c>
      <c r="T54" s="2">
        <f t="shared" si="2"/>
        <v>8850</v>
      </c>
    </row>
    <row r="55" spans="1:26" ht="16" x14ac:dyDescent="0.25">
      <c r="A55" s="5" t="s">
        <v>141</v>
      </c>
      <c r="B55" s="3">
        <v>46230</v>
      </c>
      <c r="C55" s="21" t="s">
        <v>142</v>
      </c>
      <c r="D55" s="5" t="str" cm="1">
        <f t="array" ref="D55:F55">_xlfn.TEXTSPLIT(TRIM(C55),"-")</f>
        <v>C054</v>
      </c>
      <c r="E55" s="21" t="str">
        <v>Anjali</v>
      </c>
      <c r="F55" s="21" t="str">
        <v>Alappuzha</v>
      </c>
      <c r="G55" s="21" t="s">
        <v>48</v>
      </c>
      <c r="H55" s="5" t="str" cm="1">
        <f t="array" ref="H55:I55">_xlfn.TEXTSPLIT(TRIM(G55),"-")</f>
        <v>P104</v>
      </c>
      <c r="I55" s="21" t="str">
        <v>Mouse</v>
      </c>
      <c r="J55" s="21" t="s">
        <v>42</v>
      </c>
      <c r="K55" s="4">
        <v>4</v>
      </c>
      <c r="L55" s="31">
        <v>750</v>
      </c>
      <c r="M55" s="21" t="s">
        <v>27</v>
      </c>
      <c r="N55" s="30" t="s">
        <v>28</v>
      </c>
      <c r="O55" s="21" t="str">
        <f>VLOOKUP(H55,Product_Master!$A:$E,3,FALSE)</f>
        <v>Accessories</v>
      </c>
      <c r="P55" s="21" t="str">
        <f>VLOOKUP(H55,Product_Master!$A:$E,4,FALSE)</f>
        <v>HP</v>
      </c>
      <c r="Q55" s="5">
        <f>VLOOKUP(H55,Product_Master!$A:$E,5,FALSE)</f>
        <v>0.18</v>
      </c>
      <c r="R55" s="2">
        <f t="shared" si="0"/>
        <v>3000</v>
      </c>
      <c r="S55" s="2">
        <f t="shared" si="1"/>
        <v>540</v>
      </c>
      <c r="T55" s="2">
        <f t="shared" si="2"/>
        <v>3540</v>
      </c>
      <c r="V55" s="18" t="s">
        <v>609</v>
      </c>
      <c r="W55" s="13" t="s">
        <v>608</v>
      </c>
      <c r="X55" s="14" t="s">
        <v>607</v>
      </c>
      <c r="Y55" s="19"/>
      <c r="Z55" s="19"/>
    </row>
    <row r="56" spans="1:26" ht="16" x14ac:dyDescent="0.25">
      <c r="A56" s="5" t="s">
        <v>143</v>
      </c>
      <c r="B56" s="3">
        <v>46210</v>
      </c>
      <c r="C56" s="21" t="s">
        <v>144</v>
      </c>
      <c r="D56" s="5" t="str" cm="1">
        <f t="array" ref="D56:F56">_xlfn.TEXTSPLIT(TRIM(C56),"-")</f>
        <v>C055</v>
      </c>
      <c r="E56" s="21" t="str">
        <v>Divya</v>
      </c>
      <c r="F56" s="21" t="str">
        <v>Kannur</v>
      </c>
      <c r="G56" s="21" t="s">
        <v>11</v>
      </c>
      <c r="H56" s="5" t="str" cm="1">
        <f t="array" ref="H56:I56">_xlfn.TEXTSPLIT(TRIM(G56),"-")</f>
        <v>P101</v>
      </c>
      <c r="I56" s="21" t="str">
        <v>Laptop</v>
      </c>
      <c r="J56" s="21" t="s">
        <v>22</v>
      </c>
      <c r="K56" s="4">
        <v>11</v>
      </c>
      <c r="L56" s="31">
        <v>55000</v>
      </c>
      <c r="M56" s="21" t="s">
        <v>27</v>
      </c>
      <c r="N56" s="30" t="s">
        <v>28</v>
      </c>
      <c r="O56" s="21" t="str">
        <f>VLOOKUP(H56,Product_Master!$A:$E,3,FALSE)</f>
        <v>Electronics</v>
      </c>
      <c r="P56" s="21" t="str">
        <f>VLOOKUP(H56,Product_Master!$A:$E,4,FALSE)</f>
        <v>Dell</v>
      </c>
      <c r="Q56" s="5">
        <f>VLOOKUP(H56,Product_Master!$A:$E,5,FALSE)</f>
        <v>0.18</v>
      </c>
      <c r="R56" s="2">
        <f t="shared" si="0"/>
        <v>605000</v>
      </c>
      <c r="S56" s="2">
        <f t="shared" si="1"/>
        <v>108900</v>
      </c>
      <c r="T56" s="2">
        <f t="shared" si="2"/>
        <v>713900</v>
      </c>
      <c r="V56" s="8" t="s">
        <v>613</v>
      </c>
      <c r="W56" s="10" t="s">
        <v>610</v>
      </c>
      <c r="X56" s="17" t="str">
        <f>LEFT(C2,4)</f>
        <v>C001</v>
      </c>
    </row>
    <row r="57" spans="1:26" ht="16" x14ac:dyDescent="0.25">
      <c r="A57" s="5" t="s">
        <v>145</v>
      </c>
      <c r="B57" s="3">
        <v>46220</v>
      </c>
      <c r="C57" s="21" t="s">
        <v>146</v>
      </c>
      <c r="D57" s="5" t="str" cm="1">
        <f t="array" ref="D57:F57">_xlfn.TEXTSPLIT(TRIM(C57),"-")</f>
        <v>C056</v>
      </c>
      <c r="E57" s="21" t="str">
        <v>Mohammed</v>
      </c>
      <c r="F57" s="21" t="str">
        <v>Kollam</v>
      </c>
      <c r="G57" s="21" t="s">
        <v>31</v>
      </c>
      <c r="H57" s="5" t="str" cm="1">
        <f t="array" ref="H57:I57">_xlfn.TEXTSPLIT(TRIM(G57),"-")</f>
        <v>P106</v>
      </c>
      <c r="I57" s="21" t="str">
        <v>Printer</v>
      </c>
      <c r="J57" s="21" t="s">
        <v>26</v>
      </c>
      <c r="K57" s="4">
        <v>11</v>
      </c>
      <c r="L57" s="31">
        <v>12500</v>
      </c>
      <c r="M57" s="21" t="s">
        <v>27</v>
      </c>
      <c r="N57" s="30" t="s">
        <v>19</v>
      </c>
      <c r="O57" s="21" t="str">
        <f>VLOOKUP(H57,Product_Master!$A:$E,3,FALSE)</f>
        <v>Electronics</v>
      </c>
      <c r="P57" s="21" t="str">
        <f>VLOOKUP(H57,Product_Master!$A:$E,4,FALSE)</f>
        <v>Canon</v>
      </c>
      <c r="Q57" s="5">
        <f>VLOOKUP(H57,Product_Master!$A:$E,5,FALSE)</f>
        <v>0.18</v>
      </c>
      <c r="R57" s="2">
        <f t="shared" si="0"/>
        <v>137500</v>
      </c>
      <c r="S57" s="2">
        <f t="shared" si="1"/>
        <v>24750</v>
      </c>
      <c r="T57" s="2">
        <f t="shared" si="2"/>
        <v>162250</v>
      </c>
      <c r="V57" s="8" t="s">
        <v>612</v>
      </c>
      <c r="W57" s="10" t="s">
        <v>611</v>
      </c>
      <c r="X57" s="17" t="str">
        <f>MID(C2,6,7)</f>
        <v>Nandana</v>
      </c>
    </row>
    <row r="58" spans="1:26" x14ac:dyDescent="0.2">
      <c r="A58" s="5" t="s">
        <v>147</v>
      </c>
      <c r="B58" s="3">
        <v>46234</v>
      </c>
      <c r="C58" s="21" t="s">
        <v>148</v>
      </c>
      <c r="D58" s="5" t="str" cm="1">
        <f t="array" ref="D58:F58">_xlfn.TEXTSPLIT(TRIM(C58),"-")</f>
        <v>C057</v>
      </c>
      <c r="E58" s="21" t="str">
        <v>Priya</v>
      </c>
      <c r="F58" s="21" t="str">
        <v>Kollam</v>
      </c>
      <c r="G58" s="21" t="s">
        <v>45</v>
      </c>
      <c r="H58" s="5" t="str" cm="1">
        <f t="array" ref="H58:I58">_xlfn.TEXTSPLIT(TRIM(G58),"-")</f>
        <v>P103</v>
      </c>
      <c r="I58" s="21" t="str">
        <v>Keyboard</v>
      </c>
      <c r="J58" s="21" t="s">
        <v>26</v>
      </c>
      <c r="K58" s="4">
        <v>10</v>
      </c>
      <c r="L58" s="31">
        <v>1200</v>
      </c>
      <c r="M58" s="21" t="s">
        <v>18</v>
      </c>
      <c r="N58" s="30" t="s">
        <v>19</v>
      </c>
      <c r="O58" s="21" t="str">
        <f>VLOOKUP(H58,Product_Master!$A:$E,3,FALSE)</f>
        <v>Accessories</v>
      </c>
      <c r="P58" s="21" t="str">
        <f>VLOOKUP(H58,Product_Master!$A:$E,4,FALSE)</f>
        <v>Logitech</v>
      </c>
      <c r="Q58" s="5">
        <f>VLOOKUP(H58,Product_Master!$A:$E,5,FALSE)</f>
        <v>0.18</v>
      </c>
      <c r="R58" s="2">
        <f t="shared" si="0"/>
        <v>12000</v>
      </c>
      <c r="S58" s="2">
        <f t="shared" si="1"/>
        <v>2160</v>
      </c>
      <c r="T58" s="2">
        <f t="shared" si="2"/>
        <v>14160</v>
      </c>
      <c r="V58" s="8" t="s">
        <v>614</v>
      </c>
      <c r="W58" s="10" t="s">
        <v>615</v>
      </c>
      <c r="X58" s="6" t="str">
        <f>LOWER(E2)</f>
        <v>nandana</v>
      </c>
    </row>
    <row r="59" spans="1:26" x14ac:dyDescent="0.2">
      <c r="A59" s="5" t="s">
        <v>149</v>
      </c>
      <c r="B59" s="3">
        <v>46229</v>
      </c>
      <c r="C59" s="21" t="s">
        <v>150</v>
      </c>
      <c r="D59" s="5" t="str" cm="1">
        <f t="array" ref="D59:F59">_xlfn.TEXTSPLIT(TRIM(C59),"-")</f>
        <v>C058</v>
      </c>
      <c r="E59" s="21" t="str">
        <v>Adithya</v>
      </c>
      <c r="F59" s="21" t="str">
        <v>Thrissur</v>
      </c>
      <c r="G59" s="21" t="s">
        <v>31</v>
      </c>
      <c r="H59" s="5" t="str" cm="1">
        <f t="array" ref="H59:I59">_xlfn.TEXTSPLIT(TRIM(G59),"-")</f>
        <v>P106</v>
      </c>
      <c r="I59" s="21" t="str">
        <v>Printer</v>
      </c>
      <c r="J59" s="21" t="s">
        <v>51</v>
      </c>
      <c r="K59" s="4">
        <v>12</v>
      </c>
      <c r="L59" s="31">
        <v>12500</v>
      </c>
      <c r="M59" s="21" t="s">
        <v>23</v>
      </c>
      <c r="N59" s="30" t="s">
        <v>61</v>
      </c>
      <c r="O59" s="21" t="str">
        <f>VLOOKUP(H59,Product_Master!$A:$E,3,FALSE)</f>
        <v>Electronics</v>
      </c>
      <c r="P59" s="21" t="str">
        <f>VLOOKUP(H59,Product_Master!$A:$E,4,FALSE)</f>
        <v>Canon</v>
      </c>
      <c r="Q59" s="5">
        <f>VLOOKUP(H59,Product_Master!$A:$E,5,FALSE)</f>
        <v>0.18</v>
      </c>
      <c r="R59" s="2">
        <f t="shared" si="0"/>
        <v>150000</v>
      </c>
      <c r="S59" s="2">
        <f t="shared" si="1"/>
        <v>27000</v>
      </c>
      <c r="T59" s="2">
        <f t="shared" si="2"/>
        <v>177000</v>
      </c>
      <c r="V59" s="8" t="s">
        <v>616</v>
      </c>
      <c r="W59" s="10" t="s">
        <v>617</v>
      </c>
      <c r="X59" s="6" t="str">
        <f>UPPER(E2)</f>
        <v>NANDANA</v>
      </c>
    </row>
    <row r="60" spans="1:26" x14ac:dyDescent="0.2">
      <c r="A60" s="5" t="s">
        <v>151</v>
      </c>
      <c r="B60" s="3">
        <v>46210</v>
      </c>
      <c r="C60" s="21" t="s">
        <v>152</v>
      </c>
      <c r="D60" s="5" t="str" cm="1">
        <f t="array" ref="D60:F60">_xlfn.TEXTSPLIT(TRIM(C60),"-")</f>
        <v>C059</v>
      </c>
      <c r="E60" s="21" t="str">
        <v>Meera</v>
      </c>
      <c r="F60" s="21" t="str">
        <v>Trivandrum</v>
      </c>
      <c r="G60" s="21" t="s">
        <v>54</v>
      </c>
      <c r="H60" s="5" t="str" cm="1">
        <f t="array" ref="H60:I60">_xlfn.TEXTSPLIT(TRIM(G60),"-")</f>
        <v>P107</v>
      </c>
      <c r="I60" s="21" t="str">
        <v>Webcam</v>
      </c>
      <c r="J60" s="21" t="s">
        <v>12</v>
      </c>
      <c r="K60" s="4">
        <v>10</v>
      </c>
      <c r="L60" s="31">
        <v>3500</v>
      </c>
      <c r="M60" s="21" t="s">
        <v>18</v>
      </c>
      <c r="N60" s="30" t="s">
        <v>34</v>
      </c>
      <c r="O60" s="21" t="str">
        <f>VLOOKUP(H60,Product_Master!$A:$E,3,FALSE)</f>
        <v>Electronics</v>
      </c>
      <c r="P60" s="21" t="str">
        <f>VLOOKUP(H60,Product_Master!$A:$E,4,FALSE)</f>
        <v>Logitech</v>
      </c>
      <c r="Q60" s="5">
        <f>VLOOKUP(H60,Product_Master!$A:$E,5,FALSE)</f>
        <v>0.18</v>
      </c>
      <c r="R60" s="2">
        <f t="shared" si="0"/>
        <v>35000</v>
      </c>
      <c r="S60" s="2">
        <f t="shared" si="1"/>
        <v>6300</v>
      </c>
      <c r="T60" s="2">
        <f t="shared" si="2"/>
        <v>41300</v>
      </c>
      <c r="V60" s="8" t="s">
        <v>618</v>
      </c>
      <c r="W60" s="10" t="s">
        <v>619</v>
      </c>
      <c r="X60" s="6" t="str">
        <f>_xlfn.CONCAT(I2,"-",O2)</f>
        <v>Laptop-Electronics</v>
      </c>
    </row>
    <row r="61" spans="1:26" ht="16" x14ac:dyDescent="0.25">
      <c r="A61" s="5" t="s">
        <v>153</v>
      </c>
      <c r="B61" s="3">
        <v>46206</v>
      </c>
      <c r="C61" s="21" t="s">
        <v>154</v>
      </c>
      <c r="D61" s="5" t="str" cm="1">
        <f t="array" ref="D61:F61">_xlfn.TEXTSPLIT(TRIM(C61),"-")</f>
        <v>C060</v>
      </c>
      <c r="E61" s="21" t="str">
        <v>Rahul</v>
      </c>
      <c r="F61" s="21" t="str">
        <v>Kannur</v>
      </c>
      <c r="G61" s="21" t="s">
        <v>31</v>
      </c>
      <c r="H61" s="5" t="str" cm="1">
        <f t="array" ref="H61:I61">_xlfn.TEXTSPLIT(TRIM(G61),"-")</f>
        <v>P106</v>
      </c>
      <c r="I61" s="21" t="str">
        <v>Printer</v>
      </c>
      <c r="J61" s="21" t="s">
        <v>22</v>
      </c>
      <c r="K61" s="4">
        <v>7</v>
      </c>
      <c r="L61" s="31">
        <v>12500</v>
      </c>
      <c r="M61" s="21" t="s">
        <v>27</v>
      </c>
      <c r="N61" s="30" t="s">
        <v>61</v>
      </c>
      <c r="O61" s="21" t="str">
        <f>VLOOKUP(H61,Product_Master!$A:$E,3,FALSE)</f>
        <v>Electronics</v>
      </c>
      <c r="P61" s="21" t="str">
        <f>VLOOKUP(H61,Product_Master!$A:$E,4,FALSE)</f>
        <v>Canon</v>
      </c>
      <c r="Q61" s="5">
        <f>VLOOKUP(H61,Product_Master!$A:$E,5,FALSE)</f>
        <v>0.18</v>
      </c>
      <c r="R61" s="2">
        <f t="shared" si="0"/>
        <v>87500</v>
      </c>
      <c r="S61" s="2">
        <f t="shared" si="1"/>
        <v>15750</v>
      </c>
      <c r="T61" s="2">
        <f t="shared" si="2"/>
        <v>103250</v>
      </c>
      <c r="V61" s="8" t="s">
        <v>621</v>
      </c>
      <c r="W61" s="10" t="s">
        <v>620</v>
      </c>
      <c r="X61" s="17" t="str" cm="1">
        <f t="array" ref="X61:Z61">_xlfn.TEXTSPLIT(C2,"-")</f>
        <v>C001</v>
      </c>
      <c r="Y61" s="6" t="str">
        <v>Nandana</v>
      </c>
      <c r="Z61" s="6" t="str">
        <v>Trivandrum</v>
      </c>
    </row>
    <row r="62" spans="1:26" x14ac:dyDescent="0.2">
      <c r="A62" s="5" t="s">
        <v>155</v>
      </c>
      <c r="B62" s="3">
        <v>46213</v>
      </c>
      <c r="C62" s="21" t="s">
        <v>156</v>
      </c>
      <c r="D62" s="5" t="str" cm="1">
        <f t="array" ref="D62:F62">_xlfn.TEXTSPLIT(TRIM(C62),"-")</f>
        <v>C061</v>
      </c>
      <c r="E62" s="21" t="str">
        <v>Nikhil</v>
      </c>
      <c r="F62" s="21" t="str">
        <v>Trivandrum</v>
      </c>
      <c r="G62" s="21" t="s">
        <v>39</v>
      </c>
      <c r="H62" s="5" t="str" cm="1">
        <f t="array" ref="H62:I62">_xlfn.TEXTSPLIT(TRIM(G62),"-")</f>
        <v>P105</v>
      </c>
      <c r="I62" s="21" t="str">
        <v>Headphones</v>
      </c>
      <c r="J62" s="21" t="s">
        <v>12</v>
      </c>
      <c r="K62" s="4">
        <v>9</v>
      </c>
      <c r="L62" s="31">
        <v>2500</v>
      </c>
      <c r="M62" s="21" t="s">
        <v>23</v>
      </c>
      <c r="N62" s="30" t="s">
        <v>28</v>
      </c>
      <c r="O62" s="21" t="str">
        <f>VLOOKUP(H62,Product_Master!$A:$E,3,FALSE)</f>
        <v>Accessories</v>
      </c>
      <c r="P62" s="21" t="str">
        <f>VLOOKUP(H62,Product_Master!$A:$E,4,FALSE)</f>
        <v>Sony</v>
      </c>
      <c r="Q62" s="5">
        <f>VLOOKUP(H62,Product_Master!$A:$E,5,FALSE)</f>
        <v>0.18</v>
      </c>
      <c r="R62" s="2">
        <f t="shared" si="0"/>
        <v>22500</v>
      </c>
      <c r="S62" s="2">
        <f t="shared" si="1"/>
        <v>4050</v>
      </c>
      <c r="T62" s="2">
        <f t="shared" si="2"/>
        <v>26550</v>
      </c>
      <c r="V62" s="8" t="s">
        <v>622</v>
      </c>
      <c r="W62" s="10" t="s">
        <v>623</v>
      </c>
      <c r="X62" s="6">
        <f>LEN(E2)</f>
        <v>7</v>
      </c>
    </row>
    <row r="63" spans="1:26" x14ac:dyDescent="0.2">
      <c r="A63" s="5" t="s">
        <v>157</v>
      </c>
      <c r="B63" s="3">
        <v>46217</v>
      </c>
      <c r="C63" s="21" t="s">
        <v>158</v>
      </c>
      <c r="D63" s="5" t="str" cm="1">
        <f t="array" ref="D63:F63">_xlfn.TEXTSPLIT(TRIM(C63),"-")</f>
        <v>C062</v>
      </c>
      <c r="E63" s="21" t="str">
        <v>Vishnu</v>
      </c>
      <c r="F63" s="21" t="str">
        <v>Kollam</v>
      </c>
      <c r="G63" s="21" t="s">
        <v>45</v>
      </c>
      <c r="H63" s="5" t="str" cm="1">
        <f t="array" ref="H63:I63">_xlfn.TEXTSPLIT(TRIM(G63),"-")</f>
        <v>P103</v>
      </c>
      <c r="I63" s="21" t="str">
        <v>Keyboard</v>
      </c>
      <c r="J63" s="21" t="s">
        <v>26</v>
      </c>
      <c r="K63" s="4">
        <v>4</v>
      </c>
      <c r="L63" s="31">
        <v>1200</v>
      </c>
      <c r="M63" s="21" t="s">
        <v>23</v>
      </c>
      <c r="N63" s="30" t="s">
        <v>14</v>
      </c>
      <c r="O63" s="21" t="str">
        <f>VLOOKUP(H63,Product_Master!$A:$E,3,FALSE)</f>
        <v>Accessories</v>
      </c>
      <c r="P63" s="21" t="str">
        <f>VLOOKUP(H63,Product_Master!$A:$E,4,FALSE)</f>
        <v>Logitech</v>
      </c>
      <c r="Q63" s="5">
        <f>VLOOKUP(H63,Product_Master!$A:$E,5,FALSE)</f>
        <v>0.18</v>
      </c>
      <c r="R63" s="2">
        <f t="shared" si="0"/>
        <v>4800</v>
      </c>
      <c r="S63" s="2">
        <f t="shared" si="1"/>
        <v>864</v>
      </c>
      <c r="T63" s="2">
        <f t="shared" si="2"/>
        <v>5664</v>
      </c>
    </row>
    <row r="64" spans="1:26" x14ac:dyDescent="0.2">
      <c r="A64" s="5" t="s">
        <v>159</v>
      </c>
      <c r="B64" s="3">
        <v>46230</v>
      </c>
      <c r="C64" s="21" t="s">
        <v>160</v>
      </c>
      <c r="D64" s="5" t="str" cm="1">
        <f t="array" ref="D64:F64">_xlfn.TEXTSPLIT(TRIM(C64),"-")</f>
        <v>C063</v>
      </c>
      <c r="E64" s="21" t="str">
        <v>Adithya</v>
      </c>
      <c r="F64" s="21" t="str">
        <v>Kollam</v>
      </c>
      <c r="G64" s="21" t="s">
        <v>54</v>
      </c>
      <c r="H64" s="5" t="str" cm="1">
        <f t="array" ref="H64:I64">_xlfn.TEXTSPLIT(TRIM(G64),"-")</f>
        <v>P107</v>
      </c>
      <c r="I64" s="21" t="str">
        <v>Webcam</v>
      </c>
      <c r="J64" s="21" t="s">
        <v>26</v>
      </c>
      <c r="K64" s="4">
        <v>9</v>
      </c>
      <c r="L64" s="31">
        <v>3500</v>
      </c>
      <c r="M64" s="21" t="s">
        <v>27</v>
      </c>
      <c r="N64" s="30" t="s">
        <v>28</v>
      </c>
      <c r="O64" s="21" t="str">
        <f>VLOOKUP(H64,Product_Master!$A:$E,3,FALSE)</f>
        <v>Electronics</v>
      </c>
      <c r="P64" s="21" t="str">
        <f>VLOOKUP(H64,Product_Master!$A:$E,4,FALSE)</f>
        <v>Logitech</v>
      </c>
      <c r="Q64" s="5">
        <f>VLOOKUP(H64,Product_Master!$A:$E,5,FALSE)</f>
        <v>0.18</v>
      </c>
      <c r="R64" s="2">
        <f t="shared" si="0"/>
        <v>31500</v>
      </c>
      <c r="S64" s="2">
        <f t="shared" si="1"/>
        <v>5670</v>
      </c>
      <c r="T64" s="2">
        <f t="shared" si="2"/>
        <v>37170</v>
      </c>
    </row>
    <row r="65" spans="1:23" x14ac:dyDescent="0.2">
      <c r="A65" s="5" t="s">
        <v>161</v>
      </c>
      <c r="B65" s="3">
        <v>46218</v>
      </c>
      <c r="C65" s="21" t="s">
        <v>162</v>
      </c>
      <c r="D65" s="5" t="str" cm="1">
        <f t="array" ref="D65:F65">_xlfn.TEXTSPLIT(TRIM(C65),"-")</f>
        <v>C064</v>
      </c>
      <c r="E65" s="21" t="str">
        <v>Arjun</v>
      </c>
      <c r="F65" s="21" t="str">
        <v>Thrissur</v>
      </c>
      <c r="G65" s="21" t="s">
        <v>31</v>
      </c>
      <c r="H65" s="5" t="str" cm="1">
        <f t="array" ref="H65:I65">_xlfn.TEXTSPLIT(TRIM(G65),"-")</f>
        <v>P106</v>
      </c>
      <c r="I65" s="21" t="str">
        <v>Printer</v>
      </c>
      <c r="J65" s="21" t="s">
        <v>51</v>
      </c>
      <c r="K65" s="4">
        <v>8</v>
      </c>
      <c r="L65" s="31">
        <v>12500</v>
      </c>
      <c r="M65" s="21" t="s">
        <v>13</v>
      </c>
      <c r="N65" s="30" t="s">
        <v>61</v>
      </c>
      <c r="O65" s="21" t="str">
        <f>VLOOKUP(H65,Product_Master!$A:$E,3,FALSE)</f>
        <v>Electronics</v>
      </c>
      <c r="P65" s="21" t="str">
        <f>VLOOKUP(H65,Product_Master!$A:$E,4,FALSE)</f>
        <v>Canon</v>
      </c>
      <c r="Q65" s="5">
        <f>VLOOKUP(H65,Product_Master!$A:$E,5,FALSE)</f>
        <v>0.18</v>
      </c>
      <c r="R65" s="2">
        <f t="shared" si="0"/>
        <v>100000</v>
      </c>
      <c r="S65" s="2">
        <f t="shared" si="1"/>
        <v>18000</v>
      </c>
      <c r="T65" s="2">
        <f t="shared" si="2"/>
        <v>118000</v>
      </c>
      <c r="V65" s="12" t="s">
        <v>624</v>
      </c>
      <c r="W65" s="13" t="s">
        <v>602</v>
      </c>
    </row>
    <row r="66" spans="1:23" x14ac:dyDescent="0.2">
      <c r="A66" s="5" t="s">
        <v>163</v>
      </c>
      <c r="B66" s="3">
        <v>46220</v>
      </c>
      <c r="C66" s="21" t="s">
        <v>164</v>
      </c>
      <c r="D66" s="5" t="str" cm="1">
        <f t="array" ref="D66:F66">_xlfn.TEXTSPLIT(TRIM(C66),"-")</f>
        <v>C065</v>
      </c>
      <c r="E66" s="21" t="str">
        <v>Kiran</v>
      </c>
      <c r="F66" s="21" t="str">
        <v>Kozhikode</v>
      </c>
      <c r="G66" s="21" t="s">
        <v>17</v>
      </c>
      <c r="H66" s="5" t="str" cm="1">
        <f t="array" ref="H66:I66">_xlfn.TEXTSPLIT(TRIM(G66),"-")</f>
        <v>P102</v>
      </c>
      <c r="I66" s="21" t="str">
        <v>Monitor</v>
      </c>
      <c r="J66" s="21" t="s">
        <v>71</v>
      </c>
      <c r="K66" s="4">
        <v>5</v>
      </c>
      <c r="L66" s="31">
        <v>15000</v>
      </c>
      <c r="M66" s="21" t="s">
        <v>27</v>
      </c>
      <c r="N66" s="30" t="s">
        <v>19</v>
      </c>
      <c r="O66" s="21" t="str">
        <f>VLOOKUP(H66,Product_Master!$A:$E,3,FALSE)</f>
        <v>Electronics</v>
      </c>
      <c r="P66" s="21" t="str">
        <f>VLOOKUP(H66,Product_Master!$A:$E,4,FALSE)</f>
        <v>LG</v>
      </c>
      <c r="Q66" s="5">
        <f>VLOOKUP(H66,Product_Master!$A:$E,5,FALSE)</f>
        <v>0.18</v>
      </c>
      <c r="R66" s="2">
        <f t="shared" si="0"/>
        <v>75000</v>
      </c>
      <c r="S66" s="2">
        <f t="shared" si="1"/>
        <v>13500</v>
      </c>
      <c r="T66" s="2">
        <f t="shared" si="2"/>
        <v>88500</v>
      </c>
      <c r="V66" s="8" t="s">
        <v>543</v>
      </c>
      <c r="W66" s="11">
        <f t="shared" ref="W66:W73" si="5">SUMIF($I$2:$I$251,V66,$R$2:$R$251)</f>
        <v>10285000</v>
      </c>
    </row>
    <row r="67" spans="1:23" x14ac:dyDescent="0.2">
      <c r="A67" s="5" t="s">
        <v>165</v>
      </c>
      <c r="B67" s="3">
        <v>46208</v>
      </c>
      <c r="C67" s="21" t="s">
        <v>166</v>
      </c>
      <c r="D67" s="5" t="str" cm="1">
        <f t="array" ref="D67:F67">_xlfn.TEXTSPLIT(TRIM(C67),"-")</f>
        <v>C066</v>
      </c>
      <c r="E67" s="21" t="str">
        <v>Divya</v>
      </c>
      <c r="F67" s="21" t="str">
        <v>Kollam</v>
      </c>
      <c r="G67" s="21" t="s">
        <v>48</v>
      </c>
      <c r="H67" s="5" t="str" cm="1">
        <f t="array" ref="H67:I67">_xlfn.TEXTSPLIT(TRIM(G67),"-")</f>
        <v>P104</v>
      </c>
      <c r="I67" s="21" t="str">
        <v>Mouse</v>
      </c>
      <c r="J67" s="21" t="s">
        <v>26</v>
      </c>
      <c r="K67" s="4">
        <v>4</v>
      </c>
      <c r="L67" s="31">
        <v>750</v>
      </c>
      <c r="M67" s="21" t="s">
        <v>18</v>
      </c>
      <c r="N67" s="30" t="s">
        <v>14</v>
      </c>
      <c r="O67" s="21" t="str">
        <f>VLOOKUP(H67,Product_Master!$A:$E,3,FALSE)</f>
        <v>Accessories</v>
      </c>
      <c r="P67" s="21" t="str">
        <f>VLOOKUP(H67,Product_Master!$A:$E,4,FALSE)</f>
        <v>HP</v>
      </c>
      <c r="Q67" s="5">
        <f>VLOOKUP(H67,Product_Master!$A:$E,5,FALSE)</f>
        <v>0.18</v>
      </c>
      <c r="R67" s="2">
        <f t="shared" ref="R67:R130" si="6">K67*L67</f>
        <v>3000</v>
      </c>
      <c r="S67" s="2">
        <f t="shared" ref="S67:S130" si="7">R67*Q67</f>
        <v>540</v>
      </c>
      <c r="T67" s="2">
        <f t="shared" ref="T67:T130" si="8">R67+S67</f>
        <v>3540</v>
      </c>
      <c r="V67" s="8" t="s">
        <v>547</v>
      </c>
      <c r="W67" s="11">
        <f t="shared" si="5"/>
        <v>3690000</v>
      </c>
    </row>
    <row r="68" spans="1:23" x14ac:dyDescent="0.2">
      <c r="A68" s="5" t="s">
        <v>167</v>
      </c>
      <c r="B68" s="3">
        <v>46232</v>
      </c>
      <c r="C68" s="21" t="s">
        <v>168</v>
      </c>
      <c r="D68" s="5" t="str" cm="1">
        <f t="array" ref="D68:F68">_xlfn.TEXTSPLIT(TRIM(C68),"-")</f>
        <v>C067</v>
      </c>
      <c r="E68" s="21" t="str">
        <v>Kiran</v>
      </c>
      <c r="F68" s="21" t="str">
        <v>Trivandrum</v>
      </c>
      <c r="G68" s="21" t="s">
        <v>88</v>
      </c>
      <c r="H68" s="5" t="str" cm="1">
        <f t="array" ref="H68:I68">_xlfn.TEXTSPLIT(TRIM(G68),"-")</f>
        <v>P108</v>
      </c>
      <c r="I68" s="21" t="str">
        <v>SSD</v>
      </c>
      <c r="J68" s="21" t="s">
        <v>12</v>
      </c>
      <c r="K68" s="4">
        <v>7</v>
      </c>
      <c r="L68" s="31">
        <v>6500</v>
      </c>
      <c r="M68" s="21" t="s">
        <v>13</v>
      </c>
      <c r="N68" s="30" t="s">
        <v>34</v>
      </c>
      <c r="O68" s="21" t="str">
        <f>VLOOKUP(H68,Product_Master!$A:$E,3,FALSE)</f>
        <v>Storage</v>
      </c>
      <c r="P68" s="21" t="str">
        <f>VLOOKUP(H68,Product_Master!$A:$E,4,FALSE)</f>
        <v>Samsung</v>
      </c>
      <c r="Q68" s="5">
        <f>VLOOKUP(H68,Product_Master!$A:$E,5,FALSE)</f>
        <v>0.18</v>
      </c>
      <c r="R68" s="2">
        <f t="shared" si="6"/>
        <v>45500</v>
      </c>
      <c r="S68" s="2">
        <f t="shared" si="7"/>
        <v>8190</v>
      </c>
      <c r="T68" s="2">
        <f t="shared" si="8"/>
        <v>53690</v>
      </c>
      <c r="V68" s="8" t="s">
        <v>560</v>
      </c>
      <c r="W68" s="11">
        <f t="shared" si="5"/>
        <v>3062500</v>
      </c>
    </row>
    <row r="69" spans="1:23" x14ac:dyDescent="0.2">
      <c r="A69" s="5" t="s">
        <v>169</v>
      </c>
      <c r="B69" s="3">
        <v>46224</v>
      </c>
      <c r="C69" s="21" t="s">
        <v>170</v>
      </c>
      <c r="D69" s="5" t="str" cm="1">
        <f t="array" ref="D69:F69">_xlfn.TEXTSPLIT(TRIM(C69),"-")</f>
        <v>C068</v>
      </c>
      <c r="E69" s="21" t="str">
        <v>Kiran</v>
      </c>
      <c r="F69" s="21" t="str">
        <v>Thrissur</v>
      </c>
      <c r="G69" s="21" t="s">
        <v>48</v>
      </c>
      <c r="H69" s="5" t="str" cm="1">
        <f t="array" ref="H69:I69">_xlfn.TEXTSPLIT(TRIM(G69),"-")</f>
        <v>P104</v>
      </c>
      <c r="I69" s="21" t="str">
        <v>Mouse</v>
      </c>
      <c r="J69" s="21" t="s">
        <v>51</v>
      </c>
      <c r="K69" s="4">
        <v>3</v>
      </c>
      <c r="L69" s="31">
        <v>750</v>
      </c>
      <c r="M69" s="21" t="s">
        <v>18</v>
      </c>
      <c r="N69" s="30" t="s">
        <v>19</v>
      </c>
      <c r="O69" s="21" t="str">
        <f>VLOOKUP(H69,Product_Master!$A:$E,3,FALSE)</f>
        <v>Accessories</v>
      </c>
      <c r="P69" s="21" t="str">
        <f>VLOOKUP(H69,Product_Master!$A:$E,4,FALSE)</f>
        <v>HP</v>
      </c>
      <c r="Q69" s="5">
        <f>VLOOKUP(H69,Product_Master!$A:$E,5,FALSE)</f>
        <v>0.18</v>
      </c>
      <c r="R69" s="2">
        <f t="shared" si="6"/>
        <v>2250</v>
      </c>
      <c r="S69" s="2">
        <f t="shared" si="7"/>
        <v>405</v>
      </c>
      <c r="T69" s="2">
        <f t="shared" si="8"/>
        <v>2655</v>
      </c>
      <c r="V69" s="8" t="s">
        <v>565</v>
      </c>
      <c r="W69" s="11">
        <f t="shared" si="5"/>
        <v>1384500</v>
      </c>
    </row>
    <row r="70" spans="1:23" x14ac:dyDescent="0.2">
      <c r="A70" s="5" t="s">
        <v>171</v>
      </c>
      <c r="B70" s="3">
        <v>46220</v>
      </c>
      <c r="C70" s="21" t="s">
        <v>172</v>
      </c>
      <c r="D70" s="5" t="str" cm="1">
        <f t="array" ref="D70:F70">_xlfn.TEXTSPLIT(TRIM(C70),"-")</f>
        <v>C069</v>
      </c>
      <c r="E70" s="21" t="str">
        <v>Amal</v>
      </c>
      <c r="F70" s="21" t="str">
        <v>Kannur</v>
      </c>
      <c r="G70" s="21" t="s">
        <v>45</v>
      </c>
      <c r="H70" s="5" t="str" cm="1">
        <f t="array" ref="H70:I70">_xlfn.TEXTSPLIT(TRIM(G70),"-")</f>
        <v>P103</v>
      </c>
      <c r="I70" s="21" t="str">
        <v>Keyboard</v>
      </c>
      <c r="J70" s="21" t="s">
        <v>22</v>
      </c>
      <c r="K70" s="4">
        <v>12</v>
      </c>
      <c r="L70" s="31">
        <v>1200</v>
      </c>
      <c r="M70" s="21" t="s">
        <v>18</v>
      </c>
      <c r="N70" s="30" t="s">
        <v>61</v>
      </c>
      <c r="O70" s="21" t="str">
        <f>VLOOKUP(H70,Product_Master!$A:$E,3,FALSE)</f>
        <v>Accessories</v>
      </c>
      <c r="P70" s="21" t="str">
        <f>VLOOKUP(H70,Product_Master!$A:$E,4,FALSE)</f>
        <v>Logitech</v>
      </c>
      <c r="Q70" s="5">
        <f>VLOOKUP(H70,Product_Master!$A:$E,5,FALSE)</f>
        <v>0.18</v>
      </c>
      <c r="R70" s="2">
        <f t="shared" si="6"/>
        <v>14400</v>
      </c>
      <c r="S70" s="2">
        <f t="shared" si="7"/>
        <v>2592</v>
      </c>
      <c r="T70" s="2">
        <f t="shared" si="8"/>
        <v>16992</v>
      </c>
      <c r="V70" s="8" t="s">
        <v>563</v>
      </c>
      <c r="W70" s="11">
        <f t="shared" si="5"/>
        <v>864500</v>
      </c>
    </row>
    <row r="71" spans="1:23" x14ac:dyDescent="0.2">
      <c r="A71" s="5" t="s">
        <v>173</v>
      </c>
      <c r="B71" s="3">
        <v>46229</v>
      </c>
      <c r="C71" s="21" t="s">
        <v>174</v>
      </c>
      <c r="D71" s="5" t="str" cm="1">
        <f t="array" ref="D71:F71">_xlfn.TEXTSPLIT(TRIM(C71),"-")</f>
        <v>C070</v>
      </c>
      <c r="E71" s="21" t="str">
        <v>Divya</v>
      </c>
      <c r="F71" s="21" t="str">
        <v>Trivandrum</v>
      </c>
      <c r="G71" s="21" t="s">
        <v>88</v>
      </c>
      <c r="H71" s="5" t="str" cm="1">
        <f t="array" ref="H71:I71">_xlfn.TEXTSPLIT(TRIM(G71),"-")</f>
        <v>P108</v>
      </c>
      <c r="I71" s="21" t="str">
        <v>SSD</v>
      </c>
      <c r="J71" s="21" t="s">
        <v>12</v>
      </c>
      <c r="K71" s="4">
        <v>3</v>
      </c>
      <c r="L71" s="31">
        <v>6500</v>
      </c>
      <c r="M71" s="21" t="s">
        <v>27</v>
      </c>
      <c r="N71" s="30" t="s">
        <v>34</v>
      </c>
      <c r="O71" s="21" t="str">
        <f>VLOOKUP(H71,Product_Master!$A:$E,3,FALSE)</f>
        <v>Storage</v>
      </c>
      <c r="P71" s="21" t="str">
        <f>VLOOKUP(H71,Product_Master!$A:$E,4,FALSE)</f>
        <v>Samsung</v>
      </c>
      <c r="Q71" s="5">
        <f>VLOOKUP(H71,Product_Master!$A:$E,5,FALSE)</f>
        <v>0.18</v>
      </c>
      <c r="R71" s="2">
        <f t="shared" si="6"/>
        <v>19500</v>
      </c>
      <c r="S71" s="2">
        <f t="shared" si="7"/>
        <v>3510</v>
      </c>
      <c r="T71" s="2">
        <f t="shared" si="8"/>
        <v>23010</v>
      </c>
      <c r="V71" s="8" t="s">
        <v>557</v>
      </c>
      <c r="W71" s="11">
        <f t="shared" si="5"/>
        <v>502500</v>
      </c>
    </row>
    <row r="72" spans="1:23" x14ac:dyDescent="0.2">
      <c r="A72" s="5" t="s">
        <v>175</v>
      </c>
      <c r="B72" s="3">
        <v>46227</v>
      </c>
      <c r="C72" s="21" t="s">
        <v>176</v>
      </c>
      <c r="D72" s="5" t="str" cm="1">
        <f t="array" ref="D72:F72">_xlfn.TEXTSPLIT(TRIM(C72),"-")</f>
        <v>C071</v>
      </c>
      <c r="E72" s="21" t="str">
        <v>Adithya</v>
      </c>
      <c r="F72" s="21" t="str">
        <v>Thrissur</v>
      </c>
      <c r="G72" s="21" t="s">
        <v>88</v>
      </c>
      <c r="H72" s="5" t="str" cm="1">
        <f t="array" ref="H72:I72">_xlfn.TEXTSPLIT(TRIM(G72),"-")</f>
        <v>P108</v>
      </c>
      <c r="I72" s="21" t="str">
        <v>SSD</v>
      </c>
      <c r="J72" s="21" t="s">
        <v>51</v>
      </c>
      <c r="K72" s="4">
        <v>3</v>
      </c>
      <c r="L72" s="31">
        <v>6500</v>
      </c>
      <c r="M72" s="21" t="s">
        <v>23</v>
      </c>
      <c r="N72" s="30" t="s">
        <v>28</v>
      </c>
      <c r="O72" s="21" t="str">
        <f>VLOOKUP(H72,Product_Master!$A:$E,3,FALSE)</f>
        <v>Storage</v>
      </c>
      <c r="P72" s="21" t="str">
        <f>VLOOKUP(H72,Product_Master!$A:$E,4,FALSE)</f>
        <v>Samsung</v>
      </c>
      <c r="Q72" s="5">
        <f>VLOOKUP(H72,Product_Master!$A:$E,5,FALSE)</f>
        <v>0.18</v>
      </c>
      <c r="R72" s="2">
        <f t="shared" si="6"/>
        <v>19500</v>
      </c>
      <c r="S72" s="2">
        <f t="shared" si="7"/>
        <v>3510</v>
      </c>
      <c r="T72" s="2">
        <f t="shared" si="8"/>
        <v>23010</v>
      </c>
      <c r="V72" s="8" t="s">
        <v>550</v>
      </c>
      <c r="W72" s="11">
        <f t="shared" si="5"/>
        <v>244800</v>
      </c>
    </row>
    <row r="73" spans="1:23" x14ac:dyDescent="0.2">
      <c r="A73" s="5" t="s">
        <v>177</v>
      </c>
      <c r="B73" s="3">
        <v>46211</v>
      </c>
      <c r="C73" s="21" t="s">
        <v>178</v>
      </c>
      <c r="D73" s="5" t="str" cm="1">
        <f t="array" ref="D73:F73">_xlfn.TEXTSPLIT(TRIM(C73),"-")</f>
        <v>C072</v>
      </c>
      <c r="E73" s="21" t="str">
        <v>Divya</v>
      </c>
      <c r="F73" s="21" t="str">
        <v>Kollam</v>
      </c>
      <c r="G73" s="21" t="s">
        <v>88</v>
      </c>
      <c r="H73" s="5" t="str" cm="1">
        <f t="array" ref="H73:I73">_xlfn.TEXTSPLIT(TRIM(G73),"-")</f>
        <v>P108</v>
      </c>
      <c r="I73" s="21" t="str">
        <v>SSD</v>
      </c>
      <c r="J73" s="21" t="s">
        <v>26</v>
      </c>
      <c r="K73" s="4">
        <v>11</v>
      </c>
      <c r="L73" s="31">
        <v>6500</v>
      </c>
      <c r="M73" s="21" t="s">
        <v>23</v>
      </c>
      <c r="N73" s="30" t="s">
        <v>19</v>
      </c>
      <c r="O73" s="21" t="str">
        <f>VLOOKUP(H73,Product_Master!$A:$E,3,FALSE)</f>
        <v>Storage</v>
      </c>
      <c r="P73" s="21" t="str">
        <f>VLOOKUP(H73,Product_Master!$A:$E,4,FALSE)</f>
        <v>Samsung</v>
      </c>
      <c r="Q73" s="5">
        <f>VLOOKUP(H73,Product_Master!$A:$E,5,FALSE)</f>
        <v>0.18</v>
      </c>
      <c r="R73" s="2">
        <f t="shared" si="6"/>
        <v>71500</v>
      </c>
      <c r="S73" s="2">
        <f t="shared" si="7"/>
        <v>12870</v>
      </c>
      <c r="T73" s="2">
        <f t="shared" si="8"/>
        <v>84370</v>
      </c>
      <c r="V73" s="8" t="s">
        <v>554</v>
      </c>
      <c r="W73" s="11">
        <f t="shared" si="5"/>
        <v>66750</v>
      </c>
    </row>
    <row r="74" spans="1:23" x14ac:dyDescent="0.2">
      <c r="A74" s="5" t="s">
        <v>179</v>
      </c>
      <c r="B74" s="3">
        <v>46214</v>
      </c>
      <c r="C74" s="21" t="s">
        <v>180</v>
      </c>
      <c r="D74" s="5" t="str" cm="1">
        <f t="array" ref="D74:F74">_xlfn.TEXTSPLIT(TRIM(C74),"-")</f>
        <v>C073</v>
      </c>
      <c r="E74" s="21" t="str">
        <v>Swathi</v>
      </c>
      <c r="F74" s="21" t="str">
        <v>Kollam</v>
      </c>
      <c r="G74" s="21" t="s">
        <v>48</v>
      </c>
      <c r="H74" s="5" t="str" cm="1">
        <f t="array" ref="H74:I74">_xlfn.TEXTSPLIT(TRIM(G74),"-")</f>
        <v>P104</v>
      </c>
      <c r="I74" s="21" t="str">
        <v>Mouse</v>
      </c>
      <c r="J74" s="21" t="s">
        <v>26</v>
      </c>
      <c r="K74" s="4">
        <v>5</v>
      </c>
      <c r="L74" s="31">
        <v>750</v>
      </c>
      <c r="M74" s="21" t="s">
        <v>18</v>
      </c>
      <c r="N74" s="30" t="s">
        <v>14</v>
      </c>
      <c r="O74" s="21" t="str">
        <f>VLOOKUP(H74,Product_Master!$A:$E,3,FALSE)</f>
        <v>Accessories</v>
      </c>
      <c r="P74" s="21" t="str">
        <f>VLOOKUP(H74,Product_Master!$A:$E,4,FALSE)</f>
        <v>HP</v>
      </c>
      <c r="Q74" s="5">
        <f>VLOOKUP(H74,Product_Master!$A:$E,5,FALSE)</f>
        <v>0.18</v>
      </c>
      <c r="R74" s="2">
        <f t="shared" si="6"/>
        <v>3750</v>
      </c>
      <c r="S74" s="2">
        <f t="shared" si="7"/>
        <v>675</v>
      </c>
      <c r="T74" s="2">
        <f t="shared" si="8"/>
        <v>4425</v>
      </c>
      <c r="W74" s="11"/>
    </row>
    <row r="75" spans="1:23" x14ac:dyDescent="0.2">
      <c r="A75" s="5" t="s">
        <v>181</v>
      </c>
      <c r="B75" s="3">
        <v>46208</v>
      </c>
      <c r="C75" s="21" t="s">
        <v>182</v>
      </c>
      <c r="D75" s="5" t="str" cm="1">
        <f t="array" ref="D75:F75">_xlfn.TEXTSPLIT(TRIM(C75),"-")</f>
        <v>C074</v>
      </c>
      <c r="E75" s="21" t="str">
        <v>Akhil</v>
      </c>
      <c r="F75" s="21" t="str">
        <v>Kannur</v>
      </c>
      <c r="G75" s="21" t="s">
        <v>54</v>
      </c>
      <c r="H75" s="5" t="str" cm="1">
        <f t="array" ref="H75:I75">_xlfn.TEXTSPLIT(TRIM(G75),"-")</f>
        <v>P107</v>
      </c>
      <c r="I75" s="21" t="str">
        <v>Webcam</v>
      </c>
      <c r="J75" s="21" t="s">
        <v>22</v>
      </c>
      <c r="K75" s="4">
        <v>12</v>
      </c>
      <c r="L75" s="31">
        <v>3500</v>
      </c>
      <c r="M75" s="21" t="s">
        <v>13</v>
      </c>
      <c r="N75" s="30" t="s">
        <v>19</v>
      </c>
      <c r="O75" s="21" t="str">
        <f>VLOOKUP(H75,Product_Master!$A:$E,3,FALSE)</f>
        <v>Electronics</v>
      </c>
      <c r="P75" s="21" t="str">
        <f>VLOOKUP(H75,Product_Master!$A:$E,4,FALSE)</f>
        <v>Logitech</v>
      </c>
      <c r="Q75" s="5">
        <f>VLOOKUP(H75,Product_Master!$A:$E,5,FALSE)</f>
        <v>0.18</v>
      </c>
      <c r="R75" s="2">
        <f t="shared" si="6"/>
        <v>42000</v>
      </c>
      <c r="S75" s="2">
        <f t="shared" si="7"/>
        <v>7560</v>
      </c>
      <c r="T75" s="2">
        <f t="shared" si="8"/>
        <v>49560</v>
      </c>
      <c r="V75" s="8" t="s">
        <v>639</v>
      </c>
      <c r="W75" s="11" t="s">
        <v>634</v>
      </c>
    </row>
    <row r="76" spans="1:23" x14ac:dyDescent="0.2">
      <c r="A76" s="5" t="s">
        <v>183</v>
      </c>
      <c r="B76" s="3">
        <v>46218</v>
      </c>
      <c r="C76" s="21" t="s">
        <v>184</v>
      </c>
      <c r="D76" s="5" t="str" cm="1">
        <f t="array" ref="D76:F76">_xlfn.TEXTSPLIT(TRIM(C76),"-")</f>
        <v>C075</v>
      </c>
      <c r="E76" s="21" t="str">
        <v>Amal</v>
      </c>
      <c r="F76" s="21" t="str">
        <v>Thrissur</v>
      </c>
      <c r="G76" s="21" t="s">
        <v>31</v>
      </c>
      <c r="H76" s="5" t="str" cm="1">
        <f t="array" ref="H76:I76">_xlfn.TEXTSPLIT(TRIM(G76),"-")</f>
        <v>P106</v>
      </c>
      <c r="I76" s="21" t="str">
        <v>Printer</v>
      </c>
      <c r="J76" s="21" t="s">
        <v>51</v>
      </c>
      <c r="K76" s="4">
        <v>9</v>
      </c>
      <c r="L76" s="31">
        <v>12500</v>
      </c>
      <c r="M76" s="21" t="s">
        <v>18</v>
      </c>
      <c r="N76" s="30" t="s">
        <v>14</v>
      </c>
      <c r="O76" s="21" t="str">
        <f>VLOOKUP(H76,Product_Master!$A:$E,3,FALSE)</f>
        <v>Electronics</v>
      </c>
      <c r="P76" s="21" t="str">
        <f>VLOOKUP(H76,Product_Master!$A:$E,4,FALSE)</f>
        <v>Canon</v>
      </c>
      <c r="Q76" s="5">
        <f>VLOOKUP(H76,Product_Master!$A:$E,5,FALSE)</f>
        <v>0.18</v>
      </c>
      <c r="R76" s="2">
        <f t="shared" si="6"/>
        <v>112500</v>
      </c>
      <c r="S76" s="2">
        <f t="shared" si="7"/>
        <v>20250</v>
      </c>
      <c r="T76" s="2">
        <f t="shared" si="8"/>
        <v>132750</v>
      </c>
    </row>
    <row r="77" spans="1:23" x14ac:dyDescent="0.2">
      <c r="A77" s="5" t="s">
        <v>185</v>
      </c>
      <c r="B77" s="3">
        <v>46216</v>
      </c>
      <c r="C77" s="21" t="s">
        <v>186</v>
      </c>
      <c r="D77" s="5" t="str" cm="1">
        <f t="array" ref="D77:F77">_xlfn.TEXTSPLIT(TRIM(C77),"-")</f>
        <v>C076</v>
      </c>
      <c r="E77" s="21" t="str">
        <v>Amal</v>
      </c>
      <c r="F77" s="21" t="str">
        <v>Thrissur</v>
      </c>
      <c r="G77" s="21" t="s">
        <v>11</v>
      </c>
      <c r="H77" s="5" t="str" cm="1">
        <f t="array" ref="H77:I77">_xlfn.TEXTSPLIT(TRIM(G77),"-")</f>
        <v>P101</v>
      </c>
      <c r="I77" s="21" t="str">
        <v>Laptop</v>
      </c>
      <c r="J77" s="21" t="s">
        <v>51</v>
      </c>
      <c r="K77" s="4">
        <v>10</v>
      </c>
      <c r="L77" s="31">
        <v>55000</v>
      </c>
      <c r="M77" s="21" t="s">
        <v>18</v>
      </c>
      <c r="N77" s="30" t="s">
        <v>28</v>
      </c>
      <c r="O77" s="21" t="str">
        <f>VLOOKUP(H77,Product_Master!$A:$E,3,FALSE)</f>
        <v>Electronics</v>
      </c>
      <c r="P77" s="21" t="str">
        <f>VLOOKUP(H77,Product_Master!$A:$E,4,FALSE)</f>
        <v>Dell</v>
      </c>
      <c r="Q77" s="5">
        <f>VLOOKUP(H77,Product_Master!$A:$E,5,FALSE)</f>
        <v>0.18</v>
      </c>
      <c r="R77" s="2">
        <f t="shared" si="6"/>
        <v>550000</v>
      </c>
      <c r="S77" s="2">
        <f t="shared" si="7"/>
        <v>99000</v>
      </c>
      <c r="T77" s="2">
        <f t="shared" si="8"/>
        <v>649000</v>
      </c>
    </row>
    <row r="78" spans="1:23" x14ac:dyDescent="0.2">
      <c r="A78" s="5" t="s">
        <v>187</v>
      </c>
      <c r="B78" s="3">
        <v>46227</v>
      </c>
      <c r="C78" s="21" t="s">
        <v>188</v>
      </c>
      <c r="D78" s="5" t="str" cm="1">
        <f t="array" ref="D78:F78">_xlfn.TEXTSPLIT(TRIM(C78),"-")</f>
        <v>C077</v>
      </c>
      <c r="E78" s="21" t="str">
        <v>Fathima</v>
      </c>
      <c r="F78" s="21" t="str">
        <v>Thrissur</v>
      </c>
      <c r="G78" s="21" t="s">
        <v>54</v>
      </c>
      <c r="H78" s="5" t="str" cm="1">
        <f t="array" ref="H78:I78">_xlfn.TEXTSPLIT(TRIM(G78),"-")</f>
        <v>P107</v>
      </c>
      <c r="I78" s="21" t="str">
        <v>Webcam</v>
      </c>
      <c r="J78" s="21" t="s">
        <v>51</v>
      </c>
      <c r="K78" s="4">
        <v>9</v>
      </c>
      <c r="L78" s="31">
        <v>3500</v>
      </c>
      <c r="M78" s="21" t="s">
        <v>13</v>
      </c>
      <c r="N78" s="30" t="s">
        <v>34</v>
      </c>
      <c r="O78" s="21" t="str">
        <f>VLOOKUP(H78,Product_Master!$A:$E,3,FALSE)</f>
        <v>Electronics</v>
      </c>
      <c r="P78" s="21" t="str">
        <f>VLOOKUP(H78,Product_Master!$A:$E,4,FALSE)</f>
        <v>Logitech</v>
      </c>
      <c r="Q78" s="5">
        <f>VLOOKUP(H78,Product_Master!$A:$E,5,FALSE)</f>
        <v>0.18</v>
      </c>
      <c r="R78" s="2">
        <f t="shared" si="6"/>
        <v>31500</v>
      </c>
      <c r="S78" s="2">
        <f t="shared" si="7"/>
        <v>5670</v>
      </c>
      <c r="T78" s="2">
        <f t="shared" si="8"/>
        <v>37170</v>
      </c>
    </row>
    <row r="79" spans="1:23" x14ac:dyDescent="0.2">
      <c r="A79" s="5" t="s">
        <v>189</v>
      </c>
      <c r="B79" s="3">
        <v>46204</v>
      </c>
      <c r="C79" s="21" t="s">
        <v>190</v>
      </c>
      <c r="D79" s="5" t="str" cm="1">
        <f t="array" ref="D79:F79">_xlfn.TEXTSPLIT(TRIM(C79),"-")</f>
        <v>C078</v>
      </c>
      <c r="E79" s="21" t="str">
        <v>Divya</v>
      </c>
      <c r="F79" s="21" t="str">
        <v>Kollam</v>
      </c>
      <c r="G79" s="21" t="s">
        <v>54</v>
      </c>
      <c r="H79" s="5" t="str" cm="1">
        <f t="array" ref="H79:I79">_xlfn.TEXTSPLIT(TRIM(G79),"-")</f>
        <v>P107</v>
      </c>
      <c r="I79" s="21" t="str">
        <v>Webcam</v>
      </c>
      <c r="J79" s="21" t="s">
        <v>26</v>
      </c>
      <c r="K79" s="4">
        <v>8</v>
      </c>
      <c r="L79" s="31">
        <v>3500</v>
      </c>
      <c r="M79" s="21" t="s">
        <v>27</v>
      </c>
      <c r="N79" s="30" t="s">
        <v>34</v>
      </c>
      <c r="O79" s="21" t="str">
        <f>VLOOKUP(H79,Product_Master!$A:$E,3,FALSE)</f>
        <v>Electronics</v>
      </c>
      <c r="P79" s="21" t="str">
        <f>VLOOKUP(H79,Product_Master!$A:$E,4,FALSE)</f>
        <v>Logitech</v>
      </c>
      <c r="Q79" s="5">
        <f>VLOOKUP(H79,Product_Master!$A:$E,5,FALSE)</f>
        <v>0.18</v>
      </c>
      <c r="R79" s="2">
        <f t="shared" si="6"/>
        <v>28000</v>
      </c>
      <c r="S79" s="2">
        <f t="shared" si="7"/>
        <v>5040</v>
      </c>
      <c r="T79" s="2">
        <f t="shared" si="8"/>
        <v>33040</v>
      </c>
    </row>
    <row r="80" spans="1:23" x14ac:dyDescent="0.2">
      <c r="A80" s="5" t="s">
        <v>191</v>
      </c>
      <c r="B80" s="3">
        <v>46223</v>
      </c>
      <c r="C80" s="21" t="s">
        <v>192</v>
      </c>
      <c r="D80" s="5" t="str" cm="1">
        <f t="array" ref="D80:F80">_xlfn.TEXTSPLIT(TRIM(C80),"-")</f>
        <v>C079</v>
      </c>
      <c r="E80" s="21" t="str">
        <v>Joel</v>
      </c>
      <c r="F80" s="21" t="str">
        <v>Kozhikode</v>
      </c>
      <c r="G80" s="21" t="s">
        <v>88</v>
      </c>
      <c r="H80" s="5" t="str" cm="1">
        <f t="array" ref="H80:I80">_xlfn.TEXTSPLIT(TRIM(G80),"-")</f>
        <v>P108</v>
      </c>
      <c r="I80" s="21" t="str">
        <v>SSD</v>
      </c>
      <c r="J80" s="21" t="s">
        <v>71</v>
      </c>
      <c r="K80" s="4">
        <v>3</v>
      </c>
      <c r="L80" s="31">
        <v>6500</v>
      </c>
      <c r="M80" s="21" t="s">
        <v>18</v>
      </c>
      <c r="N80" s="30" t="s">
        <v>34</v>
      </c>
      <c r="O80" s="21" t="str">
        <f>VLOOKUP(H80,Product_Master!$A:$E,3,FALSE)</f>
        <v>Storage</v>
      </c>
      <c r="P80" s="21" t="str">
        <f>VLOOKUP(H80,Product_Master!$A:$E,4,FALSE)</f>
        <v>Samsung</v>
      </c>
      <c r="Q80" s="5">
        <f>VLOOKUP(H80,Product_Master!$A:$E,5,FALSE)</f>
        <v>0.18</v>
      </c>
      <c r="R80" s="2">
        <f t="shared" si="6"/>
        <v>19500</v>
      </c>
      <c r="S80" s="2">
        <f t="shared" si="7"/>
        <v>3510</v>
      </c>
      <c r="T80" s="2">
        <f t="shared" si="8"/>
        <v>23010</v>
      </c>
    </row>
    <row r="81" spans="1:20" x14ac:dyDescent="0.2">
      <c r="A81" s="5" t="s">
        <v>193</v>
      </c>
      <c r="B81" s="3">
        <v>46217</v>
      </c>
      <c r="C81" s="21" t="s">
        <v>194</v>
      </c>
      <c r="D81" s="5" t="str" cm="1">
        <f t="array" ref="D81:F81">_xlfn.TEXTSPLIT(TRIM(C81),"-")</f>
        <v>C080</v>
      </c>
      <c r="E81" s="21" t="str">
        <v>Asha</v>
      </c>
      <c r="F81" s="21" t="str">
        <v>Kochi</v>
      </c>
      <c r="G81" s="21" t="s">
        <v>17</v>
      </c>
      <c r="H81" s="5" t="str" cm="1">
        <f t="array" ref="H81:I81">_xlfn.TEXTSPLIT(TRIM(G81),"-")</f>
        <v>P102</v>
      </c>
      <c r="I81" s="21" t="str">
        <v>Monitor</v>
      </c>
      <c r="J81" s="21" t="s">
        <v>64</v>
      </c>
      <c r="K81" s="4">
        <v>11</v>
      </c>
      <c r="L81" s="31">
        <v>15000</v>
      </c>
      <c r="M81" s="21" t="s">
        <v>23</v>
      </c>
      <c r="N81" s="30" t="s">
        <v>14</v>
      </c>
      <c r="O81" s="21" t="str">
        <f>VLOOKUP(H81,Product_Master!$A:$E,3,FALSE)</f>
        <v>Electronics</v>
      </c>
      <c r="P81" s="21" t="str">
        <f>VLOOKUP(H81,Product_Master!$A:$E,4,FALSE)</f>
        <v>LG</v>
      </c>
      <c r="Q81" s="5">
        <f>VLOOKUP(H81,Product_Master!$A:$E,5,FALSE)</f>
        <v>0.18</v>
      </c>
      <c r="R81" s="2">
        <f t="shared" si="6"/>
        <v>165000</v>
      </c>
      <c r="S81" s="2">
        <f t="shared" si="7"/>
        <v>29700</v>
      </c>
      <c r="T81" s="2">
        <f t="shared" si="8"/>
        <v>194700</v>
      </c>
    </row>
    <row r="82" spans="1:20" x14ac:dyDescent="0.2">
      <c r="A82" s="5" t="s">
        <v>195</v>
      </c>
      <c r="B82" s="3">
        <v>46210</v>
      </c>
      <c r="C82" s="21" t="s">
        <v>196</v>
      </c>
      <c r="D82" s="5" t="str" cm="1">
        <f t="array" ref="D82:F82">_xlfn.TEXTSPLIT(TRIM(C82),"-")</f>
        <v>C081</v>
      </c>
      <c r="E82" s="21" t="str">
        <v>Anjali</v>
      </c>
      <c r="F82" s="21" t="str">
        <v>Kollam</v>
      </c>
      <c r="G82" s="21" t="s">
        <v>54</v>
      </c>
      <c r="H82" s="5" t="str" cm="1">
        <f t="array" ref="H82:I82">_xlfn.TEXTSPLIT(TRIM(G82),"-")</f>
        <v>P107</v>
      </c>
      <c r="I82" s="21" t="str">
        <v>Webcam</v>
      </c>
      <c r="J82" s="21" t="s">
        <v>26</v>
      </c>
      <c r="K82" s="4">
        <v>6</v>
      </c>
      <c r="L82" s="31">
        <v>3500</v>
      </c>
      <c r="M82" s="21" t="s">
        <v>27</v>
      </c>
      <c r="N82" s="30" t="s">
        <v>28</v>
      </c>
      <c r="O82" s="21" t="str">
        <f>VLOOKUP(H82,Product_Master!$A:$E,3,FALSE)</f>
        <v>Electronics</v>
      </c>
      <c r="P82" s="21" t="str">
        <f>VLOOKUP(H82,Product_Master!$A:$E,4,FALSE)</f>
        <v>Logitech</v>
      </c>
      <c r="Q82" s="5">
        <f>VLOOKUP(H82,Product_Master!$A:$E,5,FALSE)</f>
        <v>0.18</v>
      </c>
      <c r="R82" s="2">
        <f t="shared" si="6"/>
        <v>21000</v>
      </c>
      <c r="S82" s="2">
        <f t="shared" si="7"/>
        <v>3780</v>
      </c>
      <c r="T82" s="2">
        <f t="shared" si="8"/>
        <v>24780</v>
      </c>
    </row>
    <row r="83" spans="1:20" x14ac:dyDescent="0.2">
      <c r="A83" s="5" t="s">
        <v>197</v>
      </c>
      <c r="B83" s="3">
        <v>46230</v>
      </c>
      <c r="C83" s="21" t="s">
        <v>198</v>
      </c>
      <c r="D83" s="5" t="str" cm="1">
        <f t="array" ref="D83:F83">_xlfn.TEXTSPLIT(TRIM(C83),"-")</f>
        <v>C082</v>
      </c>
      <c r="E83" s="21" t="str">
        <v>Vishnu</v>
      </c>
      <c r="F83" s="21" t="str">
        <v>Kollam</v>
      </c>
      <c r="G83" s="21" t="s">
        <v>54</v>
      </c>
      <c r="H83" s="5" t="str" cm="1">
        <f t="array" ref="H83:I83">_xlfn.TEXTSPLIT(TRIM(G83),"-")</f>
        <v>P107</v>
      </c>
      <c r="I83" s="21" t="str">
        <v>Webcam</v>
      </c>
      <c r="J83" s="21" t="s">
        <v>26</v>
      </c>
      <c r="K83" s="4">
        <v>5</v>
      </c>
      <c r="L83" s="31">
        <v>3500</v>
      </c>
      <c r="M83" s="21" t="s">
        <v>23</v>
      </c>
      <c r="N83" s="30" t="s">
        <v>19</v>
      </c>
      <c r="O83" s="21" t="str">
        <f>VLOOKUP(H83,Product_Master!$A:$E,3,FALSE)</f>
        <v>Electronics</v>
      </c>
      <c r="P83" s="21" t="str">
        <f>VLOOKUP(H83,Product_Master!$A:$E,4,FALSE)</f>
        <v>Logitech</v>
      </c>
      <c r="Q83" s="5">
        <f>VLOOKUP(H83,Product_Master!$A:$E,5,FALSE)</f>
        <v>0.18</v>
      </c>
      <c r="R83" s="2">
        <f t="shared" si="6"/>
        <v>17500</v>
      </c>
      <c r="S83" s="2">
        <f t="shared" si="7"/>
        <v>3150</v>
      </c>
      <c r="T83" s="2">
        <f t="shared" si="8"/>
        <v>20650</v>
      </c>
    </row>
    <row r="84" spans="1:20" x14ac:dyDescent="0.2">
      <c r="A84" s="5" t="s">
        <v>199</v>
      </c>
      <c r="B84" s="3">
        <v>46224</v>
      </c>
      <c r="C84" s="21" t="s">
        <v>200</v>
      </c>
      <c r="D84" s="5" t="str" cm="1">
        <f t="array" ref="D84:F84">_xlfn.TEXTSPLIT(TRIM(C84),"-")</f>
        <v>C083</v>
      </c>
      <c r="E84" s="21" t="str">
        <v>Joel</v>
      </c>
      <c r="F84" s="21" t="str">
        <v>Kochi</v>
      </c>
      <c r="G84" s="21" t="s">
        <v>31</v>
      </c>
      <c r="H84" s="5" t="str" cm="1">
        <f t="array" ref="H84:I84">_xlfn.TEXTSPLIT(TRIM(G84),"-")</f>
        <v>P106</v>
      </c>
      <c r="I84" s="21" t="str">
        <v>Printer</v>
      </c>
      <c r="J84" s="21" t="s">
        <v>64</v>
      </c>
      <c r="K84" s="4">
        <v>4</v>
      </c>
      <c r="L84" s="31">
        <v>12500</v>
      </c>
      <c r="M84" s="21" t="s">
        <v>18</v>
      </c>
      <c r="N84" s="30" t="s">
        <v>19</v>
      </c>
      <c r="O84" s="21" t="str">
        <f>VLOOKUP(H84,Product_Master!$A:$E,3,FALSE)</f>
        <v>Electronics</v>
      </c>
      <c r="P84" s="21" t="str">
        <f>VLOOKUP(H84,Product_Master!$A:$E,4,FALSE)</f>
        <v>Canon</v>
      </c>
      <c r="Q84" s="5">
        <f>VLOOKUP(H84,Product_Master!$A:$E,5,FALSE)</f>
        <v>0.18</v>
      </c>
      <c r="R84" s="2">
        <f t="shared" si="6"/>
        <v>50000</v>
      </c>
      <c r="S84" s="2">
        <f t="shared" si="7"/>
        <v>9000</v>
      </c>
      <c r="T84" s="2">
        <f t="shared" si="8"/>
        <v>59000</v>
      </c>
    </row>
    <row r="85" spans="1:20" x14ac:dyDescent="0.2">
      <c r="A85" s="5" t="s">
        <v>201</v>
      </c>
      <c r="B85" s="3">
        <v>46208</v>
      </c>
      <c r="C85" s="21" t="s">
        <v>202</v>
      </c>
      <c r="D85" s="5" t="str" cm="1">
        <f t="array" ref="D85:F85">_xlfn.TEXTSPLIT(TRIM(C85),"-")</f>
        <v>C084</v>
      </c>
      <c r="E85" s="21" t="str">
        <v>Divya</v>
      </c>
      <c r="F85" s="21" t="str">
        <v>Kannur</v>
      </c>
      <c r="G85" s="21" t="s">
        <v>11</v>
      </c>
      <c r="H85" s="5" t="str" cm="1">
        <f t="array" ref="H85:I85">_xlfn.TEXTSPLIT(TRIM(G85),"-")</f>
        <v>P101</v>
      </c>
      <c r="I85" s="21" t="str">
        <v>Laptop</v>
      </c>
      <c r="J85" s="21" t="s">
        <v>22</v>
      </c>
      <c r="K85" s="4">
        <v>10</v>
      </c>
      <c r="L85" s="31">
        <v>55000</v>
      </c>
      <c r="M85" s="21" t="s">
        <v>13</v>
      </c>
      <c r="N85" s="30" t="s">
        <v>34</v>
      </c>
      <c r="O85" s="21" t="str">
        <f>VLOOKUP(H85,Product_Master!$A:$E,3,FALSE)</f>
        <v>Electronics</v>
      </c>
      <c r="P85" s="21" t="str">
        <f>VLOOKUP(H85,Product_Master!$A:$E,4,FALSE)</f>
        <v>Dell</v>
      </c>
      <c r="Q85" s="5">
        <f>VLOOKUP(H85,Product_Master!$A:$E,5,FALSE)</f>
        <v>0.18</v>
      </c>
      <c r="R85" s="2">
        <f t="shared" si="6"/>
        <v>550000</v>
      </c>
      <c r="S85" s="2">
        <f t="shared" si="7"/>
        <v>99000</v>
      </c>
      <c r="T85" s="2">
        <f t="shared" si="8"/>
        <v>649000</v>
      </c>
    </row>
    <row r="86" spans="1:20" x14ac:dyDescent="0.2">
      <c r="A86" s="5" t="s">
        <v>203</v>
      </c>
      <c r="B86" s="3">
        <v>46226</v>
      </c>
      <c r="C86" s="21" t="s">
        <v>204</v>
      </c>
      <c r="D86" s="5" t="str" cm="1">
        <f t="array" ref="D86:F86">_xlfn.TEXTSPLIT(TRIM(C86),"-")</f>
        <v>C085</v>
      </c>
      <c r="E86" s="21" t="str">
        <v>Farhan</v>
      </c>
      <c r="F86" s="21" t="str">
        <v>Trivandrum</v>
      </c>
      <c r="G86" s="21" t="s">
        <v>48</v>
      </c>
      <c r="H86" s="5" t="str" cm="1">
        <f t="array" ref="H86:I86">_xlfn.TEXTSPLIT(TRIM(G86),"-")</f>
        <v>P104</v>
      </c>
      <c r="I86" s="21" t="str">
        <v>Mouse</v>
      </c>
      <c r="J86" s="21" t="s">
        <v>12</v>
      </c>
      <c r="K86" s="4">
        <v>8</v>
      </c>
      <c r="L86" s="31">
        <v>750</v>
      </c>
      <c r="M86" s="21" t="s">
        <v>27</v>
      </c>
      <c r="N86" s="30" t="s">
        <v>14</v>
      </c>
      <c r="O86" s="21" t="str">
        <f>VLOOKUP(H86,Product_Master!$A:$E,3,FALSE)</f>
        <v>Accessories</v>
      </c>
      <c r="P86" s="21" t="str">
        <f>VLOOKUP(H86,Product_Master!$A:$E,4,FALSE)</f>
        <v>HP</v>
      </c>
      <c r="Q86" s="5">
        <f>VLOOKUP(H86,Product_Master!$A:$E,5,FALSE)</f>
        <v>0.18</v>
      </c>
      <c r="R86" s="2">
        <f t="shared" si="6"/>
        <v>6000</v>
      </c>
      <c r="S86" s="2">
        <f t="shared" si="7"/>
        <v>1080</v>
      </c>
      <c r="T86" s="2">
        <f t="shared" si="8"/>
        <v>7080</v>
      </c>
    </row>
    <row r="87" spans="1:20" x14ac:dyDescent="0.2">
      <c r="A87" s="5" t="s">
        <v>205</v>
      </c>
      <c r="B87" s="3">
        <v>46207</v>
      </c>
      <c r="C87" s="21" t="s">
        <v>206</v>
      </c>
      <c r="D87" s="5" t="str" cm="1">
        <f t="array" ref="D87:F87">_xlfn.TEXTSPLIT(TRIM(C87),"-")</f>
        <v>C086</v>
      </c>
      <c r="E87" s="21" t="str">
        <v>Adithya</v>
      </c>
      <c r="F87" s="21" t="str">
        <v>Trivandrum</v>
      </c>
      <c r="G87" s="21" t="s">
        <v>45</v>
      </c>
      <c r="H87" s="5" t="str" cm="1">
        <f t="array" ref="H87:I87">_xlfn.TEXTSPLIT(TRIM(G87),"-")</f>
        <v>P103</v>
      </c>
      <c r="I87" s="21" t="str">
        <v>Keyboard</v>
      </c>
      <c r="J87" s="21" t="s">
        <v>12</v>
      </c>
      <c r="K87" s="4">
        <v>5</v>
      </c>
      <c r="L87" s="31">
        <v>1200</v>
      </c>
      <c r="M87" s="21" t="s">
        <v>18</v>
      </c>
      <c r="N87" s="30" t="s">
        <v>28</v>
      </c>
      <c r="O87" s="21" t="str">
        <f>VLOOKUP(H87,Product_Master!$A:$E,3,FALSE)</f>
        <v>Accessories</v>
      </c>
      <c r="P87" s="21" t="str">
        <f>VLOOKUP(H87,Product_Master!$A:$E,4,FALSE)</f>
        <v>Logitech</v>
      </c>
      <c r="Q87" s="5">
        <f>VLOOKUP(H87,Product_Master!$A:$E,5,FALSE)</f>
        <v>0.18</v>
      </c>
      <c r="R87" s="2">
        <f t="shared" si="6"/>
        <v>6000</v>
      </c>
      <c r="S87" s="2">
        <f t="shared" si="7"/>
        <v>1080</v>
      </c>
      <c r="T87" s="2">
        <f t="shared" si="8"/>
        <v>7080</v>
      </c>
    </row>
    <row r="88" spans="1:20" x14ac:dyDescent="0.2">
      <c r="A88" s="5" t="s">
        <v>207</v>
      </c>
      <c r="B88" s="3">
        <v>46210</v>
      </c>
      <c r="C88" s="21" t="s">
        <v>208</v>
      </c>
      <c r="D88" s="5" t="str" cm="1">
        <f t="array" ref="D88:F88">_xlfn.TEXTSPLIT(TRIM(C88),"-")</f>
        <v>C087</v>
      </c>
      <c r="E88" s="21" t="str">
        <v>Asha</v>
      </c>
      <c r="F88" s="21" t="str">
        <v>Thrissur</v>
      </c>
      <c r="G88" s="21" t="s">
        <v>54</v>
      </c>
      <c r="H88" s="5" t="str" cm="1">
        <f t="array" ref="H88:I88">_xlfn.TEXTSPLIT(TRIM(G88),"-")</f>
        <v>P107</v>
      </c>
      <c r="I88" s="21" t="str">
        <v>Webcam</v>
      </c>
      <c r="J88" s="21" t="s">
        <v>51</v>
      </c>
      <c r="K88" s="4">
        <v>12</v>
      </c>
      <c r="L88" s="31">
        <v>3500</v>
      </c>
      <c r="M88" s="21" t="s">
        <v>13</v>
      </c>
      <c r="N88" s="30" t="s">
        <v>19</v>
      </c>
      <c r="O88" s="21" t="str">
        <f>VLOOKUP(H88,Product_Master!$A:$E,3,FALSE)</f>
        <v>Electronics</v>
      </c>
      <c r="P88" s="21" t="str">
        <f>VLOOKUP(H88,Product_Master!$A:$E,4,FALSE)</f>
        <v>Logitech</v>
      </c>
      <c r="Q88" s="5">
        <f>VLOOKUP(H88,Product_Master!$A:$E,5,FALSE)</f>
        <v>0.18</v>
      </c>
      <c r="R88" s="2">
        <f t="shared" si="6"/>
        <v>42000</v>
      </c>
      <c r="S88" s="2">
        <f t="shared" si="7"/>
        <v>7560</v>
      </c>
      <c r="T88" s="2">
        <f t="shared" si="8"/>
        <v>49560</v>
      </c>
    </row>
    <row r="89" spans="1:20" x14ac:dyDescent="0.2">
      <c r="A89" s="5" t="s">
        <v>209</v>
      </c>
      <c r="B89" s="3">
        <v>46229</v>
      </c>
      <c r="C89" s="21" t="s">
        <v>210</v>
      </c>
      <c r="D89" s="5" t="str" cm="1">
        <f t="array" ref="D89:F89">_xlfn.TEXTSPLIT(TRIM(C89),"-")</f>
        <v>C088</v>
      </c>
      <c r="E89" s="21" t="str">
        <v>Swathi</v>
      </c>
      <c r="F89" s="21" t="str">
        <v>Kollam</v>
      </c>
      <c r="G89" s="21" t="s">
        <v>17</v>
      </c>
      <c r="H89" s="5" t="str" cm="1">
        <f t="array" ref="H89:I89">_xlfn.TEXTSPLIT(TRIM(G89),"-")</f>
        <v>P102</v>
      </c>
      <c r="I89" s="21" t="str">
        <v>Monitor</v>
      </c>
      <c r="J89" s="21" t="s">
        <v>26</v>
      </c>
      <c r="K89" s="4">
        <v>10</v>
      </c>
      <c r="L89" s="31">
        <v>15000</v>
      </c>
      <c r="M89" s="21" t="s">
        <v>27</v>
      </c>
      <c r="N89" s="30" t="s">
        <v>61</v>
      </c>
      <c r="O89" s="21" t="str">
        <f>VLOOKUP(H89,Product_Master!$A:$E,3,FALSE)</f>
        <v>Electronics</v>
      </c>
      <c r="P89" s="21" t="str">
        <f>VLOOKUP(H89,Product_Master!$A:$E,4,FALSE)</f>
        <v>LG</v>
      </c>
      <c r="Q89" s="5">
        <f>VLOOKUP(H89,Product_Master!$A:$E,5,FALSE)</f>
        <v>0.18</v>
      </c>
      <c r="R89" s="2">
        <f t="shared" si="6"/>
        <v>150000</v>
      </c>
      <c r="S89" s="2">
        <f t="shared" si="7"/>
        <v>27000</v>
      </c>
      <c r="T89" s="2">
        <f t="shared" si="8"/>
        <v>177000</v>
      </c>
    </row>
    <row r="90" spans="1:20" x14ac:dyDescent="0.2">
      <c r="A90" s="5" t="s">
        <v>211</v>
      </c>
      <c r="B90" s="3">
        <v>46224</v>
      </c>
      <c r="C90" s="21" t="s">
        <v>212</v>
      </c>
      <c r="D90" s="5" t="str" cm="1">
        <f t="array" ref="D90:F90">_xlfn.TEXTSPLIT(TRIM(C90),"-")</f>
        <v>C089</v>
      </c>
      <c r="E90" s="21" t="str">
        <v>Amal</v>
      </c>
      <c r="F90" s="21" t="str">
        <v>Malappuram</v>
      </c>
      <c r="G90" s="21" t="s">
        <v>17</v>
      </c>
      <c r="H90" s="5" t="str" cm="1">
        <f t="array" ref="H90:I90">_xlfn.TEXTSPLIT(TRIM(G90),"-")</f>
        <v>P102</v>
      </c>
      <c r="I90" s="21" t="str">
        <v>Monitor</v>
      </c>
      <c r="J90" s="21" t="s">
        <v>113</v>
      </c>
      <c r="K90" s="4">
        <v>9</v>
      </c>
      <c r="L90" s="31">
        <v>15000</v>
      </c>
      <c r="M90" s="21" t="s">
        <v>18</v>
      </c>
      <c r="N90" s="30" t="s">
        <v>34</v>
      </c>
      <c r="O90" s="21" t="str">
        <f>VLOOKUP(H90,Product_Master!$A:$E,3,FALSE)</f>
        <v>Electronics</v>
      </c>
      <c r="P90" s="21" t="str">
        <f>VLOOKUP(H90,Product_Master!$A:$E,4,FALSE)</f>
        <v>LG</v>
      </c>
      <c r="Q90" s="5">
        <f>VLOOKUP(H90,Product_Master!$A:$E,5,FALSE)</f>
        <v>0.18</v>
      </c>
      <c r="R90" s="2">
        <f t="shared" si="6"/>
        <v>135000</v>
      </c>
      <c r="S90" s="2">
        <f t="shared" si="7"/>
        <v>24300</v>
      </c>
      <c r="T90" s="2">
        <f t="shared" si="8"/>
        <v>159300</v>
      </c>
    </row>
    <row r="91" spans="1:20" x14ac:dyDescent="0.2">
      <c r="A91" s="5" t="s">
        <v>213</v>
      </c>
      <c r="B91" s="3">
        <v>46224</v>
      </c>
      <c r="C91" s="21" t="s">
        <v>214</v>
      </c>
      <c r="D91" s="5" t="str" cm="1">
        <f t="array" ref="D91:F91">_xlfn.TEXTSPLIT(TRIM(C91),"-")</f>
        <v>C090</v>
      </c>
      <c r="E91" s="21" t="str">
        <v>Kiran</v>
      </c>
      <c r="F91" s="21" t="str">
        <v>Trivandrum</v>
      </c>
      <c r="G91" s="21" t="s">
        <v>54</v>
      </c>
      <c r="H91" s="5" t="str" cm="1">
        <f t="array" ref="H91:I91">_xlfn.TEXTSPLIT(TRIM(G91),"-")</f>
        <v>P107</v>
      </c>
      <c r="I91" s="21" t="str">
        <v>Webcam</v>
      </c>
      <c r="J91" s="21" t="s">
        <v>12</v>
      </c>
      <c r="K91" s="4">
        <v>6</v>
      </c>
      <c r="L91" s="31">
        <v>3500</v>
      </c>
      <c r="M91" s="21" t="s">
        <v>13</v>
      </c>
      <c r="N91" s="30" t="s">
        <v>34</v>
      </c>
      <c r="O91" s="21" t="str">
        <f>VLOOKUP(H91,Product_Master!$A:$E,3,FALSE)</f>
        <v>Electronics</v>
      </c>
      <c r="P91" s="21" t="str">
        <f>VLOOKUP(H91,Product_Master!$A:$E,4,FALSE)</f>
        <v>Logitech</v>
      </c>
      <c r="Q91" s="5">
        <f>VLOOKUP(H91,Product_Master!$A:$E,5,FALSE)</f>
        <v>0.18</v>
      </c>
      <c r="R91" s="2">
        <f t="shared" si="6"/>
        <v>21000</v>
      </c>
      <c r="S91" s="2">
        <f t="shared" si="7"/>
        <v>3780</v>
      </c>
      <c r="T91" s="2">
        <f t="shared" si="8"/>
        <v>24780</v>
      </c>
    </row>
    <row r="92" spans="1:20" x14ac:dyDescent="0.2">
      <c r="A92" s="5" t="s">
        <v>215</v>
      </c>
      <c r="B92" s="3">
        <v>46217</v>
      </c>
      <c r="C92" s="21" t="s">
        <v>216</v>
      </c>
      <c r="D92" s="5" t="str" cm="1">
        <f t="array" ref="D92:F92">_xlfn.TEXTSPLIT(TRIM(C92),"-")</f>
        <v>C091</v>
      </c>
      <c r="E92" s="21" t="str">
        <v>Neha</v>
      </c>
      <c r="F92" s="21" t="str">
        <v>Kollam</v>
      </c>
      <c r="G92" s="21" t="s">
        <v>88</v>
      </c>
      <c r="H92" s="5" t="str" cm="1">
        <f t="array" ref="H92:I92">_xlfn.TEXTSPLIT(TRIM(G92),"-")</f>
        <v>P108</v>
      </c>
      <c r="I92" s="21" t="str">
        <v>SSD</v>
      </c>
      <c r="J92" s="21" t="s">
        <v>26</v>
      </c>
      <c r="K92" s="4">
        <v>8</v>
      </c>
      <c r="L92" s="31">
        <v>6500</v>
      </c>
      <c r="M92" s="21" t="s">
        <v>27</v>
      </c>
      <c r="N92" s="30" t="s">
        <v>28</v>
      </c>
      <c r="O92" s="21" t="str">
        <f>VLOOKUP(H92,Product_Master!$A:$E,3,FALSE)</f>
        <v>Storage</v>
      </c>
      <c r="P92" s="21" t="str">
        <f>VLOOKUP(H92,Product_Master!$A:$E,4,FALSE)</f>
        <v>Samsung</v>
      </c>
      <c r="Q92" s="5">
        <f>VLOOKUP(H92,Product_Master!$A:$E,5,FALSE)</f>
        <v>0.18</v>
      </c>
      <c r="R92" s="2">
        <f t="shared" si="6"/>
        <v>52000</v>
      </c>
      <c r="S92" s="2">
        <f t="shared" si="7"/>
        <v>9360</v>
      </c>
      <c r="T92" s="2">
        <f t="shared" si="8"/>
        <v>61360</v>
      </c>
    </row>
    <row r="93" spans="1:20" x14ac:dyDescent="0.2">
      <c r="A93" s="5" t="s">
        <v>217</v>
      </c>
      <c r="B93" s="3">
        <v>46211</v>
      </c>
      <c r="C93" s="21" t="s">
        <v>218</v>
      </c>
      <c r="D93" s="5" t="str" cm="1">
        <f t="array" ref="D93:F93">_xlfn.TEXTSPLIT(TRIM(C93),"-")</f>
        <v>C092</v>
      </c>
      <c r="E93" s="21" t="str">
        <v>Divya</v>
      </c>
      <c r="F93" s="21" t="str">
        <v>Trivandrum</v>
      </c>
      <c r="G93" s="21" t="s">
        <v>39</v>
      </c>
      <c r="H93" s="5" t="str" cm="1">
        <f t="array" ref="H93:I93">_xlfn.TEXTSPLIT(TRIM(G93),"-")</f>
        <v>P105</v>
      </c>
      <c r="I93" s="21" t="str">
        <v>Headphones</v>
      </c>
      <c r="J93" s="21" t="s">
        <v>12</v>
      </c>
      <c r="K93" s="4">
        <v>8</v>
      </c>
      <c r="L93" s="31">
        <v>2500</v>
      </c>
      <c r="M93" s="21" t="s">
        <v>23</v>
      </c>
      <c r="N93" s="30" t="s">
        <v>28</v>
      </c>
      <c r="O93" s="21" t="str">
        <f>VLOOKUP(H93,Product_Master!$A:$E,3,FALSE)</f>
        <v>Accessories</v>
      </c>
      <c r="P93" s="21" t="str">
        <f>VLOOKUP(H93,Product_Master!$A:$E,4,FALSE)</f>
        <v>Sony</v>
      </c>
      <c r="Q93" s="5">
        <f>VLOOKUP(H93,Product_Master!$A:$E,5,FALSE)</f>
        <v>0.18</v>
      </c>
      <c r="R93" s="2">
        <f t="shared" si="6"/>
        <v>20000</v>
      </c>
      <c r="S93" s="2">
        <f t="shared" si="7"/>
        <v>3600</v>
      </c>
      <c r="T93" s="2">
        <f t="shared" si="8"/>
        <v>23600</v>
      </c>
    </row>
    <row r="94" spans="1:20" x14ac:dyDescent="0.2">
      <c r="A94" s="5" t="s">
        <v>219</v>
      </c>
      <c r="B94" s="3">
        <v>46219</v>
      </c>
      <c r="C94" s="21" t="s">
        <v>220</v>
      </c>
      <c r="D94" s="5" t="str" cm="1">
        <f t="array" ref="D94:F94">_xlfn.TEXTSPLIT(TRIM(C94),"-")</f>
        <v>C093</v>
      </c>
      <c r="E94" s="21" t="str">
        <v>Rahul</v>
      </c>
      <c r="F94" s="21" t="str">
        <v>Alappuzha</v>
      </c>
      <c r="G94" s="21" t="s">
        <v>31</v>
      </c>
      <c r="H94" s="5" t="str" cm="1">
        <f t="array" ref="H94:I94">_xlfn.TEXTSPLIT(TRIM(G94),"-")</f>
        <v>P106</v>
      </c>
      <c r="I94" s="21" t="str">
        <v>Printer</v>
      </c>
      <c r="J94" s="21" t="s">
        <v>42</v>
      </c>
      <c r="K94" s="4">
        <v>3</v>
      </c>
      <c r="L94" s="31">
        <v>12500</v>
      </c>
      <c r="M94" s="21" t="s">
        <v>27</v>
      </c>
      <c r="N94" s="30" t="s">
        <v>28</v>
      </c>
      <c r="O94" s="21" t="str">
        <f>VLOOKUP(H94,Product_Master!$A:$E,3,FALSE)</f>
        <v>Electronics</v>
      </c>
      <c r="P94" s="21" t="str">
        <f>VLOOKUP(H94,Product_Master!$A:$E,4,FALSE)</f>
        <v>Canon</v>
      </c>
      <c r="Q94" s="5">
        <f>VLOOKUP(H94,Product_Master!$A:$E,5,FALSE)</f>
        <v>0.18</v>
      </c>
      <c r="R94" s="2">
        <f t="shared" si="6"/>
        <v>37500</v>
      </c>
      <c r="S94" s="2">
        <f t="shared" si="7"/>
        <v>6750</v>
      </c>
      <c r="T94" s="2">
        <f t="shared" si="8"/>
        <v>44250</v>
      </c>
    </row>
    <row r="95" spans="1:20" x14ac:dyDescent="0.2">
      <c r="A95" s="5" t="s">
        <v>221</v>
      </c>
      <c r="B95" s="3">
        <v>46204</v>
      </c>
      <c r="C95" s="21" t="s">
        <v>222</v>
      </c>
      <c r="D95" s="5" t="str" cm="1">
        <f t="array" ref="D95:F95">_xlfn.TEXTSPLIT(TRIM(C95),"-")</f>
        <v>C094</v>
      </c>
      <c r="E95" s="21" t="str">
        <v>Nikhil</v>
      </c>
      <c r="F95" s="21" t="str">
        <v>Kollam</v>
      </c>
      <c r="G95" s="21" t="s">
        <v>39</v>
      </c>
      <c r="H95" s="5" t="str" cm="1">
        <f t="array" ref="H95:I95">_xlfn.TEXTSPLIT(TRIM(G95),"-")</f>
        <v>P105</v>
      </c>
      <c r="I95" s="21" t="str">
        <v>Headphones</v>
      </c>
      <c r="J95" s="21" t="s">
        <v>26</v>
      </c>
      <c r="K95" s="4">
        <v>9</v>
      </c>
      <c r="L95" s="31">
        <v>2500</v>
      </c>
      <c r="M95" s="21" t="s">
        <v>13</v>
      </c>
      <c r="N95" s="30" t="s">
        <v>19</v>
      </c>
      <c r="O95" s="21" t="str">
        <f>VLOOKUP(H95,Product_Master!$A:$E,3,FALSE)</f>
        <v>Accessories</v>
      </c>
      <c r="P95" s="21" t="str">
        <f>VLOOKUP(H95,Product_Master!$A:$E,4,FALSE)</f>
        <v>Sony</v>
      </c>
      <c r="Q95" s="5">
        <f>VLOOKUP(H95,Product_Master!$A:$E,5,FALSE)</f>
        <v>0.18</v>
      </c>
      <c r="R95" s="2">
        <f t="shared" si="6"/>
        <v>22500</v>
      </c>
      <c r="S95" s="2">
        <f t="shared" si="7"/>
        <v>4050</v>
      </c>
      <c r="T95" s="2">
        <f t="shared" si="8"/>
        <v>26550</v>
      </c>
    </row>
    <row r="96" spans="1:20" x14ac:dyDescent="0.2">
      <c r="A96" s="5" t="s">
        <v>223</v>
      </c>
      <c r="B96" s="3">
        <v>46228</v>
      </c>
      <c r="C96" s="21" t="s">
        <v>224</v>
      </c>
      <c r="D96" s="5" t="str" cm="1">
        <f t="array" ref="D96:F96">_xlfn.TEXTSPLIT(TRIM(C96),"-")</f>
        <v>C095</v>
      </c>
      <c r="E96" s="21" t="str">
        <v>Divya</v>
      </c>
      <c r="F96" s="21" t="str">
        <v>Thrissur</v>
      </c>
      <c r="G96" s="21" t="s">
        <v>88</v>
      </c>
      <c r="H96" s="5" t="str" cm="1">
        <f t="array" ref="H96:I96">_xlfn.TEXTSPLIT(TRIM(G96),"-")</f>
        <v>P108</v>
      </c>
      <c r="I96" s="21" t="str">
        <v>SSD</v>
      </c>
      <c r="J96" s="21" t="s">
        <v>51</v>
      </c>
      <c r="K96" s="4">
        <v>9</v>
      </c>
      <c r="L96" s="31">
        <v>6500</v>
      </c>
      <c r="M96" s="21" t="s">
        <v>23</v>
      </c>
      <c r="N96" s="30" t="s">
        <v>34</v>
      </c>
      <c r="O96" s="21" t="str">
        <f>VLOOKUP(H96,Product_Master!$A:$E,3,FALSE)</f>
        <v>Storage</v>
      </c>
      <c r="P96" s="21" t="str">
        <f>VLOOKUP(H96,Product_Master!$A:$E,4,FALSE)</f>
        <v>Samsung</v>
      </c>
      <c r="Q96" s="5">
        <f>VLOOKUP(H96,Product_Master!$A:$E,5,FALSE)</f>
        <v>0.18</v>
      </c>
      <c r="R96" s="2">
        <f t="shared" si="6"/>
        <v>58500</v>
      </c>
      <c r="S96" s="2">
        <f t="shared" si="7"/>
        <v>10530</v>
      </c>
      <c r="T96" s="2">
        <f t="shared" si="8"/>
        <v>69030</v>
      </c>
    </row>
    <row r="97" spans="1:20" x14ac:dyDescent="0.2">
      <c r="A97" s="5" t="s">
        <v>225</v>
      </c>
      <c r="B97" s="3">
        <v>46211</v>
      </c>
      <c r="C97" s="21" t="s">
        <v>226</v>
      </c>
      <c r="D97" s="5" t="str" cm="1">
        <f t="array" ref="D97:F97">_xlfn.TEXTSPLIT(TRIM(C97),"-")</f>
        <v>C096</v>
      </c>
      <c r="E97" s="21" t="str">
        <v>Lakshmi</v>
      </c>
      <c r="F97" s="21" t="str">
        <v>Kochi</v>
      </c>
      <c r="G97" s="21" t="s">
        <v>17</v>
      </c>
      <c r="H97" s="5" t="str" cm="1">
        <f t="array" ref="H97:I97">_xlfn.TEXTSPLIT(TRIM(G97),"-")</f>
        <v>P102</v>
      </c>
      <c r="I97" s="21" t="str">
        <v>Monitor</v>
      </c>
      <c r="J97" s="21" t="s">
        <v>64</v>
      </c>
      <c r="K97" s="4">
        <v>5</v>
      </c>
      <c r="L97" s="31">
        <v>15000</v>
      </c>
      <c r="M97" s="21" t="s">
        <v>13</v>
      </c>
      <c r="N97" s="30" t="s">
        <v>28</v>
      </c>
      <c r="O97" s="21" t="str">
        <f>VLOOKUP(H97,Product_Master!$A:$E,3,FALSE)</f>
        <v>Electronics</v>
      </c>
      <c r="P97" s="21" t="str">
        <f>VLOOKUP(H97,Product_Master!$A:$E,4,FALSE)</f>
        <v>LG</v>
      </c>
      <c r="Q97" s="5">
        <f>VLOOKUP(H97,Product_Master!$A:$E,5,FALSE)</f>
        <v>0.18</v>
      </c>
      <c r="R97" s="2">
        <f t="shared" si="6"/>
        <v>75000</v>
      </c>
      <c r="S97" s="2">
        <f t="shared" si="7"/>
        <v>13500</v>
      </c>
      <c r="T97" s="2">
        <f t="shared" si="8"/>
        <v>88500</v>
      </c>
    </row>
    <row r="98" spans="1:20" x14ac:dyDescent="0.2">
      <c r="A98" s="5" t="s">
        <v>227</v>
      </c>
      <c r="B98" s="3">
        <v>46220</v>
      </c>
      <c r="C98" s="21" t="s">
        <v>228</v>
      </c>
      <c r="D98" s="5" t="str" cm="1">
        <f t="array" ref="D98:F98">_xlfn.TEXTSPLIT(TRIM(C98),"-")</f>
        <v>C097</v>
      </c>
      <c r="E98" s="21" t="str">
        <v>Farhan</v>
      </c>
      <c r="F98" s="21" t="str">
        <v>Malappuram</v>
      </c>
      <c r="G98" s="21" t="s">
        <v>88</v>
      </c>
      <c r="H98" s="5" t="str" cm="1">
        <f t="array" ref="H98:I98">_xlfn.TEXTSPLIT(TRIM(G98),"-")</f>
        <v>P108</v>
      </c>
      <c r="I98" s="21" t="str">
        <v>SSD</v>
      </c>
      <c r="J98" s="21" t="s">
        <v>113</v>
      </c>
      <c r="K98" s="4">
        <v>9</v>
      </c>
      <c r="L98" s="31">
        <v>6500</v>
      </c>
      <c r="M98" s="21" t="s">
        <v>23</v>
      </c>
      <c r="N98" s="30" t="s">
        <v>61</v>
      </c>
      <c r="O98" s="21" t="str">
        <f>VLOOKUP(H98,Product_Master!$A:$E,3,FALSE)</f>
        <v>Storage</v>
      </c>
      <c r="P98" s="21" t="str">
        <f>VLOOKUP(H98,Product_Master!$A:$E,4,FALSE)</f>
        <v>Samsung</v>
      </c>
      <c r="Q98" s="5">
        <f>VLOOKUP(H98,Product_Master!$A:$E,5,FALSE)</f>
        <v>0.18</v>
      </c>
      <c r="R98" s="2">
        <f t="shared" si="6"/>
        <v>58500</v>
      </c>
      <c r="S98" s="2">
        <f t="shared" si="7"/>
        <v>10530</v>
      </c>
      <c r="T98" s="2">
        <f t="shared" si="8"/>
        <v>69030</v>
      </c>
    </row>
    <row r="99" spans="1:20" x14ac:dyDescent="0.2">
      <c r="A99" s="5" t="s">
        <v>229</v>
      </c>
      <c r="B99" s="3">
        <v>46213</v>
      </c>
      <c r="C99" s="21" t="s">
        <v>230</v>
      </c>
      <c r="D99" s="5" t="str" cm="1">
        <f t="array" ref="D99:F99">_xlfn.TEXTSPLIT(TRIM(C99),"-")</f>
        <v>C098</v>
      </c>
      <c r="E99" s="21" t="str">
        <v>Nikhil</v>
      </c>
      <c r="F99" s="21" t="str">
        <v>Malappuram</v>
      </c>
      <c r="G99" s="21" t="s">
        <v>88</v>
      </c>
      <c r="H99" s="5" t="str" cm="1">
        <f t="array" ref="H99:I99">_xlfn.TEXTSPLIT(TRIM(G99),"-")</f>
        <v>P108</v>
      </c>
      <c r="I99" s="21" t="str">
        <v>SSD</v>
      </c>
      <c r="J99" s="21" t="s">
        <v>113</v>
      </c>
      <c r="K99" s="4">
        <v>5</v>
      </c>
      <c r="L99" s="31">
        <v>6500</v>
      </c>
      <c r="M99" s="21" t="s">
        <v>13</v>
      </c>
      <c r="N99" s="30" t="s">
        <v>19</v>
      </c>
      <c r="O99" s="21" t="str">
        <f>VLOOKUP(H99,Product_Master!$A:$E,3,FALSE)</f>
        <v>Storage</v>
      </c>
      <c r="P99" s="21" t="str">
        <f>VLOOKUP(H99,Product_Master!$A:$E,4,FALSE)</f>
        <v>Samsung</v>
      </c>
      <c r="Q99" s="5">
        <f>VLOOKUP(H99,Product_Master!$A:$E,5,FALSE)</f>
        <v>0.18</v>
      </c>
      <c r="R99" s="2">
        <f t="shared" si="6"/>
        <v>32500</v>
      </c>
      <c r="S99" s="2">
        <f t="shared" si="7"/>
        <v>5850</v>
      </c>
      <c r="T99" s="2">
        <f t="shared" si="8"/>
        <v>38350</v>
      </c>
    </row>
    <row r="100" spans="1:20" x14ac:dyDescent="0.2">
      <c r="A100" s="5" t="s">
        <v>231</v>
      </c>
      <c r="B100" s="3">
        <v>46227</v>
      </c>
      <c r="C100" s="21" t="s">
        <v>232</v>
      </c>
      <c r="D100" s="5" t="str" cm="1">
        <f t="array" ref="D100:F100">_xlfn.TEXTSPLIT(TRIM(C100),"-")</f>
        <v>C099</v>
      </c>
      <c r="E100" s="21" t="str">
        <v>Joel</v>
      </c>
      <c r="F100" s="21" t="str">
        <v>Kannur</v>
      </c>
      <c r="G100" s="21" t="s">
        <v>31</v>
      </c>
      <c r="H100" s="5" t="str" cm="1">
        <f t="array" ref="H100:I100">_xlfn.TEXTSPLIT(TRIM(G100),"-")</f>
        <v>P106</v>
      </c>
      <c r="I100" s="21" t="str">
        <v>Printer</v>
      </c>
      <c r="J100" s="21" t="s">
        <v>22</v>
      </c>
      <c r="K100" s="4">
        <v>2</v>
      </c>
      <c r="L100" s="31">
        <v>12500</v>
      </c>
      <c r="M100" s="21" t="s">
        <v>13</v>
      </c>
      <c r="N100" s="30" t="s">
        <v>14</v>
      </c>
      <c r="O100" s="21" t="str">
        <f>VLOOKUP(H100,Product_Master!$A:$E,3,FALSE)</f>
        <v>Electronics</v>
      </c>
      <c r="P100" s="21" t="str">
        <f>VLOOKUP(H100,Product_Master!$A:$E,4,FALSE)</f>
        <v>Canon</v>
      </c>
      <c r="Q100" s="5">
        <f>VLOOKUP(H100,Product_Master!$A:$E,5,FALSE)</f>
        <v>0.18</v>
      </c>
      <c r="R100" s="2">
        <f t="shared" si="6"/>
        <v>25000</v>
      </c>
      <c r="S100" s="2">
        <f t="shared" si="7"/>
        <v>4500</v>
      </c>
      <c r="T100" s="2">
        <f t="shared" si="8"/>
        <v>29500</v>
      </c>
    </row>
    <row r="101" spans="1:20" x14ac:dyDescent="0.2">
      <c r="A101" s="5" t="s">
        <v>233</v>
      </c>
      <c r="B101" s="3">
        <v>46222</v>
      </c>
      <c r="C101" s="21" t="s">
        <v>234</v>
      </c>
      <c r="D101" s="5" t="str" cm="1">
        <f t="array" ref="D101:F101">_xlfn.TEXTSPLIT(TRIM(C101),"-")</f>
        <v>C100</v>
      </c>
      <c r="E101" s="21" t="str">
        <v>Arjun</v>
      </c>
      <c r="F101" s="21" t="str">
        <v>Alappuzha</v>
      </c>
      <c r="G101" s="21" t="s">
        <v>39</v>
      </c>
      <c r="H101" s="5" t="str" cm="1">
        <f t="array" ref="H101:I101">_xlfn.TEXTSPLIT(TRIM(G101),"-")</f>
        <v>P105</v>
      </c>
      <c r="I101" s="21" t="str">
        <v>Headphones</v>
      </c>
      <c r="J101" s="21" t="s">
        <v>42</v>
      </c>
      <c r="K101" s="4">
        <v>12</v>
      </c>
      <c r="L101" s="31">
        <v>2500</v>
      </c>
      <c r="M101" s="21" t="s">
        <v>27</v>
      </c>
      <c r="N101" s="30" t="s">
        <v>19</v>
      </c>
      <c r="O101" s="21" t="str">
        <f>VLOOKUP(H101,Product_Master!$A:$E,3,FALSE)</f>
        <v>Accessories</v>
      </c>
      <c r="P101" s="21" t="str">
        <f>VLOOKUP(H101,Product_Master!$A:$E,4,FALSE)</f>
        <v>Sony</v>
      </c>
      <c r="Q101" s="5">
        <f>VLOOKUP(H101,Product_Master!$A:$E,5,FALSE)</f>
        <v>0.18</v>
      </c>
      <c r="R101" s="2">
        <f t="shared" si="6"/>
        <v>30000</v>
      </c>
      <c r="S101" s="2">
        <f t="shared" si="7"/>
        <v>5400</v>
      </c>
      <c r="T101" s="2">
        <f t="shared" si="8"/>
        <v>35400</v>
      </c>
    </row>
    <row r="102" spans="1:20" x14ac:dyDescent="0.2">
      <c r="A102" s="5" t="s">
        <v>235</v>
      </c>
      <c r="B102" s="3">
        <v>46209</v>
      </c>
      <c r="C102" s="21" t="s">
        <v>236</v>
      </c>
      <c r="D102" s="5" t="str" cm="1">
        <f t="array" ref="D102:F102">_xlfn.TEXTSPLIT(TRIM(C102),"-")</f>
        <v>C101</v>
      </c>
      <c r="E102" s="21" t="str">
        <v>Arjun</v>
      </c>
      <c r="F102" s="21" t="str">
        <v>Kollam</v>
      </c>
      <c r="G102" s="21" t="s">
        <v>48</v>
      </c>
      <c r="H102" s="5" t="str" cm="1">
        <f t="array" ref="H102:I102">_xlfn.TEXTSPLIT(TRIM(G102),"-")</f>
        <v>P104</v>
      </c>
      <c r="I102" s="21" t="str">
        <v>Mouse</v>
      </c>
      <c r="J102" s="21" t="s">
        <v>26</v>
      </c>
      <c r="K102" s="4">
        <v>6</v>
      </c>
      <c r="L102" s="31">
        <v>750</v>
      </c>
      <c r="M102" s="21" t="s">
        <v>18</v>
      </c>
      <c r="N102" s="30" t="s">
        <v>61</v>
      </c>
      <c r="O102" s="21" t="str">
        <f>VLOOKUP(H102,Product_Master!$A:$E,3,FALSE)</f>
        <v>Accessories</v>
      </c>
      <c r="P102" s="21" t="str">
        <f>VLOOKUP(H102,Product_Master!$A:$E,4,FALSE)</f>
        <v>HP</v>
      </c>
      <c r="Q102" s="5">
        <f>VLOOKUP(H102,Product_Master!$A:$E,5,FALSE)</f>
        <v>0.18</v>
      </c>
      <c r="R102" s="2">
        <f t="shared" si="6"/>
        <v>4500</v>
      </c>
      <c r="S102" s="2">
        <f t="shared" si="7"/>
        <v>810</v>
      </c>
      <c r="T102" s="2">
        <f t="shared" si="8"/>
        <v>5310</v>
      </c>
    </row>
    <row r="103" spans="1:20" x14ac:dyDescent="0.2">
      <c r="A103" s="5" t="s">
        <v>237</v>
      </c>
      <c r="B103" s="3">
        <v>46221</v>
      </c>
      <c r="C103" s="21" t="s">
        <v>238</v>
      </c>
      <c r="D103" s="5" t="str" cm="1">
        <f t="array" ref="D103:F103">_xlfn.TEXTSPLIT(TRIM(C103),"-")</f>
        <v>C102</v>
      </c>
      <c r="E103" s="21" t="str">
        <v>Akhil</v>
      </c>
      <c r="F103" s="21" t="str">
        <v>Kollam</v>
      </c>
      <c r="G103" s="21" t="s">
        <v>11</v>
      </c>
      <c r="H103" s="5" t="str" cm="1">
        <f t="array" ref="H103:I103">_xlfn.TEXTSPLIT(TRIM(G103),"-")</f>
        <v>P101</v>
      </c>
      <c r="I103" s="21" t="str">
        <v>Laptop</v>
      </c>
      <c r="J103" s="21" t="s">
        <v>26</v>
      </c>
      <c r="K103" s="4">
        <v>1</v>
      </c>
      <c r="L103" s="31">
        <v>55000</v>
      </c>
      <c r="M103" s="21" t="s">
        <v>13</v>
      </c>
      <c r="N103" s="30" t="s">
        <v>34</v>
      </c>
      <c r="O103" s="21" t="str">
        <f>VLOOKUP(H103,Product_Master!$A:$E,3,FALSE)</f>
        <v>Electronics</v>
      </c>
      <c r="P103" s="21" t="str">
        <f>VLOOKUP(H103,Product_Master!$A:$E,4,FALSE)</f>
        <v>Dell</v>
      </c>
      <c r="Q103" s="5">
        <f>VLOOKUP(H103,Product_Master!$A:$E,5,FALSE)</f>
        <v>0.18</v>
      </c>
      <c r="R103" s="2">
        <f t="shared" si="6"/>
        <v>55000</v>
      </c>
      <c r="S103" s="2">
        <f t="shared" si="7"/>
        <v>9900</v>
      </c>
      <c r="T103" s="2">
        <f t="shared" si="8"/>
        <v>64900</v>
      </c>
    </row>
    <row r="104" spans="1:20" x14ac:dyDescent="0.2">
      <c r="A104" s="5" t="s">
        <v>239</v>
      </c>
      <c r="B104" s="3">
        <v>46219</v>
      </c>
      <c r="C104" s="21" t="s">
        <v>240</v>
      </c>
      <c r="D104" s="5" t="str" cm="1">
        <f t="array" ref="D104:F104">_xlfn.TEXTSPLIT(TRIM(C104),"-")</f>
        <v>C103</v>
      </c>
      <c r="E104" s="21" t="str">
        <v>Priya</v>
      </c>
      <c r="F104" s="21" t="str">
        <v>Kochi</v>
      </c>
      <c r="G104" s="21" t="s">
        <v>39</v>
      </c>
      <c r="H104" s="5" t="str" cm="1">
        <f t="array" ref="H104:I104">_xlfn.TEXTSPLIT(TRIM(G104),"-")</f>
        <v>P105</v>
      </c>
      <c r="I104" s="21" t="str">
        <v>Headphones</v>
      </c>
      <c r="J104" s="21" t="s">
        <v>64</v>
      </c>
      <c r="K104" s="4">
        <v>8</v>
      </c>
      <c r="L104" s="31">
        <v>2500</v>
      </c>
      <c r="M104" s="21" t="s">
        <v>27</v>
      </c>
      <c r="N104" s="30" t="s">
        <v>14</v>
      </c>
      <c r="O104" s="21" t="str">
        <f>VLOOKUP(H104,Product_Master!$A:$E,3,FALSE)</f>
        <v>Accessories</v>
      </c>
      <c r="P104" s="21" t="str">
        <f>VLOOKUP(H104,Product_Master!$A:$E,4,FALSE)</f>
        <v>Sony</v>
      </c>
      <c r="Q104" s="5">
        <f>VLOOKUP(H104,Product_Master!$A:$E,5,FALSE)</f>
        <v>0.18</v>
      </c>
      <c r="R104" s="2">
        <f t="shared" si="6"/>
        <v>20000</v>
      </c>
      <c r="S104" s="2">
        <f t="shared" si="7"/>
        <v>3600</v>
      </c>
      <c r="T104" s="2">
        <f t="shared" si="8"/>
        <v>23600</v>
      </c>
    </row>
    <row r="105" spans="1:20" x14ac:dyDescent="0.2">
      <c r="A105" s="5" t="s">
        <v>241</v>
      </c>
      <c r="B105" s="3">
        <v>46230</v>
      </c>
      <c r="C105" s="21" t="s">
        <v>242</v>
      </c>
      <c r="D105" s="5" t="str" cm="1">
        <f t="array" ref="D105:F105">_xlfn.TEXTSPLIT(TRIM(C105),"-")</f>
        <v>C104</v>
      </c>
      <c r="E105" s="21" t="str">
        <v>Anjali</v>
      </c>
      <c r="F105" s="21" t="str">
        <v>Kollam</v>
      </c>
      <c r="G105" s="21" t="s">
        <v>88</v>
      </c>
      <c r="H105" s="5" t="str" cm="1">
        <f t="array" ref="H105:I105">_xlfn.TEXTSPLIT(TRIM(G105),"-")</f>
        <v>P108</v>
      </c>
      <c r="I105" s="21" t="str">
        <v>SSD</v>
      </c>
      <c r="J105" s="21" t="s">
        <v>26</v>
      </c>
      <c r="K105" s="4">
        <v>2</v>
      </c>
      <c r="L105" s="31">
        <v>6500</v>
      </c>
      <c r="M105" s="21" t="s">
        <v>23</v>
      </c>
      <c r="N105" s="30" t="s">
        <v>34</v>
      </c>
      <c r="O105" s="21" t="str">
        <f>VLOOKUP(H105,Product_Master!$A:$E,3,FALSE)</f>
        <v>Storage</v>
      </c>
      <c r="P105" s="21" t="str">
        <f>VLOOKUP(H105,Product_Master!$A:$E,4,FALSE)</f>
        <v>Samsung</v>
      </c>
      <c r="Q105" s="5">
        <f>VLOOKUP(H105,Product_Master!$A:$E,5,FALSE)</f>
        <v>0.18</v>
      </c>
      <c r="R105" s="2">
        <f t="shared" si="6"/>
        <v>13000</v>
      </c>
      <c r="S105" s="2">
        <f t="shared" si="7"/>
        <v>2340</v>
      </c>
      <c r="T105" s="2">
        <f t="shared" si="8"/>
        <v>15340</v>
      </c>
    </row>
    <row r="106" spans="1:20" x14ac:dyDescent="0.2">
      <c r="A106" s="5" t="s">
        <v>243</v>
      </c>
      <c r="B106" s="3">
        <v>46229</v>
      </c>
      <c r="C106" s="21" t="s">
        <v>244</v>
      </c>
      <c r="D106" s="5" t="str" cm="1">
        <f t="array" ref="D106:F106">_xlfn.TEXTSPLIT(TRIM(C106),"-")</f>
        <v>C105</v>
      </c>
      <c r="E106" s="21" t="str">
        <v>Mohammed</v>
      </c>
      <c r="F106" s="21" t="str">
        <v>Kochi</v>
      </c>
      <c r="G106" s="21" t="s">
        <v>45</v>
      </c>
      <c r="H106" s="5" t="str" cm="1">
        <f t="array" ref="H106:I106">_xlfn.TEXTSPLIT(TRIM(G106),"-")</f>
        <v>P103</v>
      </c>
      <c r="I106" s="21" t="str">
        <v>Keyboard</v>
      </c>
      <c r="J106" s="21" t="s">
        <v>64</v>
      </c>
      <c r="K106" s="4">
        <v>3</v>
      </c>
      <c r="L106" s="31">
        <v>1200</v>
      </c>
      <c r="M106" s="21" t="s">
        <v>27</v>
      </c>
      <c r="N106" s="30" t="s">
        <v>19</v>
      </c>
      <c r="O106" s="21" t="str">
        <f>VLOOKUP(H106,Product_Master!$A:$E,3,FALSE)</f>
        <v>Accessories</v>
      </c>
      <c r="P106" s="21" t="str">
        <f>VLOOKUP(H106,Product_Master!$A:$E,4,FALSE)</f>
        <v>Logitech</v>
      </c>
      <c r="Q106" s="5">
        <f>VLOOKUP(H106,Product_Master!$A:$E,5,FALSE)</f>
        <v>0.18</v>
      </c>
      <c r="R106" s="2">
        <f t="shared" si="6"/>
        <v>3600</v>
      </c>
      <c r="S106" s="2">
        <f t="shared" si="7"/>
        <v>648</v>
      </c>
      <c r="T106" s="2">
        <f t="shared" si="8"/>
        <v>4248</v>
      </c>
    </row>
    <row r="107" spans="1:20" x14ac:dyDescent="0.2">
      <c r="A107" s="5" t="s">
        <v>245</v>
      </c>
      <c r="B107" s="3">
        <v>46223</v>
      </c>
      <c r="C107" s="21" t="s">
        <v>246</v>
      </c>
      <c r="D107" s="5" t="str" cm="1">
        <f t="array" ref="D107:F107">_xlfn.TEXTSPLIT(TRIM(C107),"-")</f>
        <v>C106</v>
      </c>
      <c r="E107" s="21" t="str">
        <v>Divya</v>
      </c>
      <c r="F107" s="21" t="str">
        <v>Trivandrum</v>
      </c>
      <c r="G107" s="21" t="s">
        <v>247</v>
      </c>
      <c r="H107" s="5" t="str" cm="1">
        <f t="array" ref="H107:I107">_xlfn.TEXTSPLIT(TRIM(G107),"-")</f>
        <v>P107</v>
      </c>
      <c r="I107" s="21" t="str">
        <v>Webcam</v>
      </c>
      <c r="J107" s="21" t="s">
        <v>12</v>
      </c>
      <c r="K107" s="4">
        <v>10</v>
      </c>
      <c r="L107" s="31">
        <v>3500</v>
      </c>
      <c r="M107" s="21" t="s">
        <v>13</v>
      </c>
      <c r="N107" s="30" t="s">
        <v>61</v>
      </c>
      <c r="O107" s="21" t="str">
        <f>VLOOKUP(H107,Product_Master!$A:$E,3,FALSE)</f>
        <v>Electronics</v>
      </c>
      <c r="P107" s="21" t="str">
        <f>VLOOKUP(H107,Product_Master!$A:$E,4,FALSE)</f>
        <v>Logitech</v>
      </c>
      <c r="Q107" s="5">
        <f>VLOOKUP(H107,Product_Master!$A:$E,5,FALSE)</f>
        <v>0.18</v>
      </c>
      <c r="R107" s="2">
        <f t="shared" si="6"/>
        <v>35000</v>
      </c>
      <c r="S107" s="2">
        <f t="shared" si="7"/>
        <v>6300</v>
      </c>
      <c r="T107" s="2">
        <f t="shared" si="8"/>
        <v>41300</v>
      </c>
    </row>
    <row r="108" spans="1:20" x14ac:dyDescent="0.2">
      <c r="A108" s="5" t="s">
        <v>248</v>
      </c>
      <c r="B108" s="3">
        <v>46231</v>
      </c>
      <c r="C108" s="21" t="s">
        <v>249</v>
      </c>
      <c r="D108" s="5" t="str" cm="1">
        <f t="array" ref="D108:F108">_xlfn.TEXTSPLIT(TRIM(C108),"-")</f>
        <v>C107</v>
      </c>
      <c r="E108" s="21" t="str">
        <v>Vishnu</v>
      </c>
      <c r="F108" s="21" t="str">
        <v>Alappuzha</v>
      </c>
      <c r="G108" s="21" t="s">
        <v>88</v>
      </c>
      <c r="H108" s="5" t="str" cm="1">
        <f t="array" ref="H108:I108">_xlfn.TEXTSPLIT(TRIM(G108),"-")</f>
        <v>P108</v>
      </c>
      <c r="I108" s="21" t="str">
        <v>SSD</v>
      </c>
      <c r="J108" s="21" t="s">
        <v>42</v>
      </c>
      <c r="K108" s="4">
        <v>5</v>
      </c>
      <c r="L108" s="31">
        <v>6500</v>
      </c>
      <c r="M108" s="21" t="s">
        <v>23</v>
      </c>
      <c r="N108" s="30" t="s">
        <v>28</v>
      </c>
      <c r="O108" s="21" t="str">
        <f>VLOOKUP(H108,Product_Master!$A:$E,3,FALSE)</f>
        <v>Storage</v>
      </c>
      <c r="P108" s="21" t="str">
        <f>VLOOKUP(H108,Product_Master!$A:$E,4,FALSE)</f>
        <v>Samsung</v>
      </c>
      <c r="Q108" s="5">
        <f>VLOOKUP(H108,Product_Master!$A:$E,5,FALSE)</f>
        <v>0.18</v>
      </c>
      <c r="R108" s="2">
        <f t="shared" si="6"/>
        <v>32500</v>
      </c>
      <c r="S108" s="2">
        <f t="shared" si="7"/>
        <v>5850</v>
      </c>
      <c r="T108" s="2">
        <f t="shared" si="8"/>
        <v>38350</v>
      </c>
    </row>
    <row r="109" spans="1:20" x14ac:dyDescent="0.2">
      <c r="A109" s="5" t="s">
        <v>250</v>
      </c>
      <c r="B109" s="3">
        <v>46224</v>
      </c>
      <c r="C109" s="21" t="s">
        <v>251</v>
      </c>
      <c r="D109" s="5" t="str" cm="1">
        <f t="array" ref="D109:F109">_xlfn.TEXTSPLIT(TRIM(C109),"-")</f>
        <v>C108</v>
      </c>
      <c r="E109" s="21" t="str">
        <v>Asha</v>
      </c>
      <c r="F109" s="21" t="str">
        <v>Kochi</v>
      </c>
      <c r="G109" s="21" t="s">
        <v>17</v>
      </c>
      <c r="H109" s="5" t="str" cm="1">
        <f t="array" ref="H109:I109">_xlfn.TEXTSPLIT(TRIM(G109),"-")</f>
        <v>P102</v>
      </c>
      <c r="I109" s="21" t="str">
        <v>Monitor</v>
      </c>
      <c r="J109" s="21" t="s">
        <v>64</v>
      </c>
      <c r="K109" s="4">
        <v>4</v>
      </c>
      <c r="L109" s="31">
        <v>15000</v>
      </c>
      <c r="M109" s="21" t="s">
        <v>27</v>
      </c>
      <c r="N109" s="30" t="s">
        <v>19</v>
      </c>
      <c r="O109" s="21" t="str">
        <f>VLOOKUP(H109,Product_Master!$A:$E,3,FALSE)</f>
        <v>Electronics</v>
      </c>
      <c r="P109" s="21" t="str">
        <f>VLOOKUP(H109,Product_Master!$A:$E,4,FALSE)</f>
        <v>LG</v>
      </c>
      <c r="Q109" s="5">
        <f>VLOOKUP(H109,Product_Master!$A:$E,5,FALSE)</f>
        <v>0.18</v>
      </c>
      <c r="R109" s="2">
        <f t="shared" si="6"/>
        <v>60000</v>
      </c>
      <c r="S109" s="2">
        <f t="shared" si="7"/>
        <v>10800</v>
      </c>
      <c r="T109" s="2">
        <f t="shared" si="8"/>
        <v>70800</v>
      </c>
    </row>
    <row r="110" spans="1:20" x14ac:dyDescent="0.2">
      <c r="A110" s="5" t="s">
        <v>252</v>
      </c>
      <c r="B110" s="3">
        <v>46206</v>
      </c>
      <c r="C110" s="21" t="s">
        <v>253</v>
      </c>
      <c r="D110" s="5" t="str" cm="1">
        <f t="array" ref="D110:F110">_xlfn.TEXTSPLIT(TRIM(C110),"-")</f>
        <v>C109</v>
      </c>
      <c r="E110" s="21" t="str">
        <v>Neha</v>
      </c>
      <c r="F110" s="21" t="str">
        <v>Kannur</v>
      </c>
      <c r="G110" s="21" t="s">
        <v>45</v>
      </c>
      <c r="H110" s="5" t="str" cm="1">
        <f t="array" ref="H110:I110">_xlfn.TEXTSPLIT(TRIM(G110),"-")</f>
        <v>P103</v>
      </c>
      <c r="I110" s="21" t="str">
        <v>Keyboard</v>
      </c>
      <c r="J110" s="21" t="s">
        <v>22</v>
      </c>
      <c r="K110" s="4">
        <v>9</v>
      </c>
      <c r="L110" s="31">
        <v>1200</v>
      </c>
      <c r="M110" s="21" t="s">
        <v>18</v>
      </c>
      <c r="N110" s="30" t="s">
        <v>34</v>
      </c>
      <c r="O110" s="21" t="str">
        <f>VLOOKUP(H110,Product_Master!$A:$E,3,FALSE)</f>
        <v>Accessories</v>
      </c>
      <c r="P110" s="21" t="str">
        <f>VLOOKUP(H110,Product_Master!$A:$E,4,FALSE)</f>
        <v>Logitech</v>
      </c>
      <c r="Q110" s="5">
        <f>VLOOKUP(H110,Product_Master!$A:$E,5,FALSE)</f>
        <v>0.18</v>
      </c>
      <c r="R110" s="2">
        <f t="shared" si="6"/>
        <v>10800</v>
      </c>
      <c r="S110" s="2">
        <f t="shared" si="7"/>
        <v>1944</v>
      </c>
      <c r="T110" s="2">
        <f t="shared" si="8"/>
        <v>12744</v>
      </c>
    </row>
    <row r="111" spans="1:20" x14ac:dyDescent="0.2">
      <c r="A111" s="5" t="s">
        <v>254</v>
      </c>
      <c r="B111" s="3">
        <v>46211</v>
      </c>
      <c r="C111" s="21" t="s">
        <v>255</v>
      </c>
      <c r="D111" s="5" t="str" cm="1">
        <f t="array" ref="D111:F111">_xlfn.TEXTSPLIT(TRIM(C111),"-")</f>
        <v>C110</v>
      </c>
      <c r="E111" s="21" t="str">
        <v>Lakshmi</v>
      </c>
      <c r="F111" s="21" t="str">
        <v>Alappuzha</v>
      </c>
      <c r="G111" s="21" t="s">
        <v>39</v>
      </c>
      <c r="H111" s="5" t="str" cm="1">
        <f t="array" ref="H111:I111">_xlfn.TEXTSPLIT(TRIM(G111),"-")</f>
        <v>P105</v>
      </c>
      <c r="I111" s="21" t="str">
        <v>Headphones</v>
      </c>
      <c r="J111" s="21" t="s">
        <v>42</v>
      </c>
      <c r="K111" s="4">
        <v>1</v>
      </c>
      <c r="L111" s="31">
        <v>2500</v>
      </c>
      <c r="M111" s="21" t="s">
        <v>27</v>
      </c>
      <c r="N111" s="30" t="s">
        <v>34</v>
      </c>
      <c r="O111" s="21" t="str">
        <f>VLOOKUP(H111,Product_Master!$A:$E,3,FALSE)</f>
        <v>Accessories</v>
      </c>
      <c r="P111" s="21" t="str">
        <f>VLOOKUP(H111,Product_Master!$A:$E,4,FALSE)</f>
        <v>Sony</v>
      </c>
      <c r="Q111" s="5">
        <f>VLOOKUP(H111,Product_Master!$A:$E,5,FALSE)</f>
        <v>0.18</v>
      </c>
      <c r="R111" s="2">
        <f t="shared" si="6"/>
        <v>2500</v>
      </c>
      <c r="S111" s="2">
        <f t="shared" si="7"/>
        <v>450</v>
      </c>
      <c r="T111" s="2">
        <f t="shared" si="8"/>
        <v>2950</v>
      </c>
    </row>
    <row r="112" spans="1:20" x14ac:dyDescent="0.2">
      <c r="A112" s="5" t="s">
        <v>256</v>
      </c>
      <c r="B112" s="3">
        <v>46222</v>
      </c>
      <c r="C112" s="21" t="s">
        <v>257</v>
      </c>
      <c r="D112" s="5" t="str" cm="1">
        <f t="array" ref="D112:F112">_xlfn.TEXTSPLIT(TRIM(C112),"-")</f>
        <v>C111</v>
      </c>
      <c r="E112" s="21" t="str">
        <v>Mohammed</v>
      </c>
      <c r="F112" s="21" t="str">
        <v>Kannur</v>
      </c>
      <c r="G112" s="21" t="s">
        <v>39</v>
      </c>
      <c r="H112" s="5" t="str" cm="1">
        <f t="array" ref="H112:I112">_xlfn.TEXTSPLIT(TRIM(G112),"-")</f>
        <v>P105</v>
      </c>
      <c r="I112" s="21" t="str">
        <v>Headphones</v>
      </c>
      <c r="J112" s="21" t="s">
        <v>22</v>
      </c>
      <c r="K112" s="4">
        <v>11</v>
      </c>
      <c r="L112" s="31">
        <v>2500</v>
      </c>
      <c r="M112" s="21" t="s">
        <v>13</v>
      </c>
      <c r="N112" s="30" t="s">
        <v>34</v>
      </c>
      <c r="O112" s="21" t="str">
        <f>VLOOKUP(H112,Product_Master!$A:$E,3,FALSE)</f>
        <v>Accessories</v>
      </c>
      <c r="P112" s="21" t="str">
        <f>VLOOKUP(H112,Product_Master!$A:$E,4,FALSE)</f>
        <v>Sony</v>
      </c>
      <c r="Q112" s="5">
        <f>VLOOKUP(H112,Product_Master!$A:$E,5,FALSE)</f>
        <v>0.18</v>
      </c>
      <c r="R112" s="2">
        <f t="shared" si="6"/>
        <v>27500</v>
      </c>
      <c r="S112" s="2">
        <f t="shared" si="7"/>
        <v>4950</v>
      </c>
      <c r="T112" s="2">
        <f t="shared" si="8"/>
        <v>32450</v>
      </c>
    </row>
    <row r="113" spans="1:20" x14ac:dyDescent="0.2">
      <c r="A113" s="5" t="s">
        <v>258</v>
      </c>
      <c r="B113" s="3">
        <v>46230</v>
      </c>
      <c r="C113" s="21" t="s">
        <v>259</v>
      </c>
      <c r="D113" s="5" t="str" cm="1">
        <f t="array" ref="D113:F113">_xlfn.TEXTSPLIT(TRIM(C113),"-")</f>
        <v>C112</v>
      </c>
      <c r="E113" s="21" t="str">
        <v>Priya</v>
      </c>
      <c r="F113" s="21" t="str">
        <v>Kannur</v>
      </c>
      <c r="G113" s="21" t="s">
        <v>45</v>
      </c>
      <c r="H113" s="5" t="str" cm="1">
        <f t="array" ref="H113:I113">_xlfn.TEXTSPLIT(TRIM(G113),"-")</f>
        <v>P103</v>
      </c>
      <c r="I113" s="21" t="str">
        <v>Keyboard</v>
      </c>
      <c r="J113" s="21" t="s">
        <v>22</v>
      </c>
      <c r="K113" s="4">
        <v>5</v>
      </c>
      <c r="L113" s="31">
        <v>1200</v>
      </c>
      <c r="M113" s="21" t="s">
        <v>18</v>
      </c>
      <c r="N113" s="30" t="s">
        <v>19</v>
      </c>
      <c r="O113" s="21" t="str">
        <f>VLOOKUP(H113,Product_Master!$A:$E,3,FALSE)</f>
        <v>Accessories</v>
      </c>
      <c r="P113" s="21" t="str">
        <f>VLOOKUP(H113,Product_Master!$A:$E,4,FALSE)</f>
        <v>Logitech</v>
      </c>
      <c r="Q113" s="5">
        <f>VLOOKUP(H113,Product_Master!$A:$E,5,FALSE)</f>
        <v>0.18</v>
      </c>
      <c r="R113" s="2">
        <f t="shared" si="6"/>
        <v>6000</v>
      </c>
      <c r="S113" s="2">
        <f t="shared" si="7"/>
        <v>1080</v>
      </c>
      <c r="T113" s="2">
        <f t="shared" si="8"/>
        <v>7080</v>
      </c>
    </row>
    <row r="114" spans="1:20" x14ac:dyDescent="0.2">
      <c r="A114" s="5" t="s">
        <v>260</v>
      </c>
      <c r="B114" s="3">
        <v>46207</v>
      </c>
      <c r="C114" s="21" t="s">
        <v>261</v>
      </c>
      <c r="D114" s="5" t="str" cm="1">
        <f t="array" ref="D114:F114">_xlfn.TEXTSPLIT(TRIM(C114),"-")</f>
        <v>C113</v>
      </c>
      <c r="E114" s="21" t="str">
        <v>Neha</v>
      </c>
      <c r="F114" s="21" t="str">
        <v>Kollam</v>
      </c>
      <c r="G114" s="21" t="s">
        <v>39</v>
      </c>
      <c r="H114" s="5" t="str" cm="1">
        <f t="array" ref="H114:I114">_xlfn.TEXTSPLIT(TRIM(G114),"-")</f>
        <v>P105</v>
      </c>
      <c r="I114" s="21" t="str">
        <v>Headphones</v>
      </c>
      <c r="J114" s="21" t="s">
        <v>26</v>
      </c>
      <c r="K114" s="4">
        <v>8</v>
      </c>
      <c r="L114" s="31">
        <v>2500</v>
      </c>
      <c r="M114" s="21" t="s">
        <v>27</v>
      </c>
      <c r="N114" s="30" t="s">
        <v>34</v>
      </c>
      <c r="O114" s="21" t="str">
        <f>VLOOKUP(H114,Product_Master!$A:$E,3,FALSE)</f>
        <v>Accessories</v>
      </c>
      <c r="P114" s="21" t="str">
        <f>VLOOKUP(H114,Product_Master!$A:$E,4,FALSE)</f>
        <v>Sony</v>
      </c>
      <c r="Q114" s="5">
        <f>VLOOKUP(H114,Product_Master!$A:$E,5,FALSE)</f>
        <v>0.18</v>
      </c>
      <c r="R114" s="2">
        <f t="shared" si="6"/>
        <v>20000</v>
      </c>
      <c r="S114" s="2">
        <f t="shared" si="7"/>
        <v>3600</v>
      </c>
      <c r="T114" s="2">
        <f t="shared" si="8"/>
        <v>23600</v>
      </c>
    </row>
    <row r="115" spans="1:20" x14ac:dyDescent="0.2">
      <c r="A115" s="5" t="s">
        <v>262</v>
      </c>
      <c r="B115" s="3">
        <v>46223</v>
      </c>
      <c r="C115" s="21" t="s">
        <v>263</v>
      </c>
      <c r="D115" s="5" t="str" cm="1">
        <f t="array" ref="D115:F115">_xlfn.TEXTSPLIT(TRIM(C115),"-")</f>
        <v>C114</v>
      </c>
      <c r="E115" s="21" t="str">
        <v>Sanjay</v>
      </c>
      <c r="F115" s="21" t="str">
        <v>Alappuzha</v>
      </c>
      <c r="G115" s="21" t="s">
        <v>88</v>
      </c>
      <c r="H115" s="5" t="str" cm="1">
        <f t="array" ref="H115:I115">_xlfn.TEXTSPLIT(TRIM(G115),"-")</f>
        <v>P108</v>
      </c>
      <c r="I115" s="21" t="str">
        <v>SSD</v>
      </c>
      <c r="J115" s="21" t="s">
        <v>42</v>
      </c>
      <c r="K115" s="4">
        <v>2</v>
      </c>
      <c r="L115" s="31">
        <v>6500</v>
      </c>
      <c r="M115" s="21" t="s">
        <v>23</v>
      </c>
      <c r="N115" s="30" t="s">
        <v>28</v>
      </c>
      <c r="O115" s="21" t="str">
        <f>VLOOKUP(H115,Product_Master!$A:$E,3,FALSE)</f>
        <v>Storage</v>
      </c>
      <c r="P115" s="21" t="str">
        <f>VLOOKUP(H115,Product_Master!$A:$E,4,FALSE)</f>
        <v>Samsung</v>
      </c>
      <c r="Q115" s="5">
        <f>VLOOKUP(H115,Product_Master!$A:$E,5,FALSE)</f>
        <v>0.18</v>
      </c>
      <c r="R115" s="2">
        <f t="shared" si="6"/>
        <v>13000</v>
      </c>
      <c r="S115" s="2">
        <f t="shared" si="7"/>
        <v>2340</v>
      </c>
      <c r="T115" s="2">
        <f t="shared" si="8"/>
        <v>15340</v>
      </c>
    </row>
    <row r="116" spans="1:20" x14ac:dyDescent="0.2">
      <c r="A116" s="5" t="s">
        <v>264</v>
      </c>
      <c r="B116" s="3">
        <v>46211</v>
      </c>
      <c r="C116" s="21" t="s">
        <v>265</v>
      </c>
      <c r="D116" s="5" t="str" cm="1">
        <f t="array" ref="D116:F116">_xlfn.TEXTSPLIT(TRIM(C116),"-")</f>
        <v>C115</v>
      </c>
      <c r="E116" s="21" t="str">
        <v>Adithya</v>
      </c>
      <c r="F116" s="21" t="str">
        <v>Kollam</v>
      </c>
      <c r="G116" s="21" t="s">
        <v>11</v>
      </c>
      <c r="H116" s="5" t="str" cm="1">
        <f t="array" ref="H116:I116">_xlfn.TEXTSPLIT(TRIM(G116),"-")</f>
        <v>P101</v>
      </c>
      <c r="I116" s="21" t="str">
        <v>Laptop</v>
      </c>
      <c r="J116" s="21" t="s">
        <v>26</v>
      </c>
      <c r="K116" s="4">
        <v>2</v>
      </c>
      <c r="L116" s="31">
        <v>55000</v>
      </c>
      <c r="M116" s="21" t="s">
        <v>18</v>
      </c>
      <c r="N116" s="30" t="s">
        <v>28</v>
      </c>
      <c r="O116" s="21" t="str">
        <f>VLOOKUP(H116,Product_Master!$A:$E,3,FALSE)</f>
        <v>Electronics</v>
      </c>
      <c r="P116" s="21" t="str">
        <f>VLOOKUP(H116,Product_Master!$A:$E,4,FALSE)</f>
        <v>Dell</v>
      </c>
      <c r="Q116" s="5">
        <f>VLOOKUP(H116,Product_Master!$A:$E,5,FALSE)</f>
        <v>0.18</v>
      </c>
      <c r="R116" s="2">
        <f t="shared" si="6"/>
        <v>110000</v>
      </c>
      <c r="S116" s="2">
        <f t="shared" si="7"/>
        <v>19800</v>
      </c>
      <c r="T116" s="2">
        <f t="shared" si="8"/>
        <v>129800</v>
      </c>
    </row>
    <row r="117" spans="1:20" x14ac:dyDescent="0.2">
      <c r="A117" s="5" t="s">
        <v>266</v>
      </c>
      <c r="B117" s="3">
        <v>46220</v>
      </c>
      <c r="C117" s="21" t="s">
        <v>267</v>
      </c>
      <c r="D117" s="5" t="str" cm="1">
        <f t="array" ref="D117:F117">_xlfn.TEXTSPLIT(TRIM(C117),"-")</f>
        <v>C116</v>
      </c>
      <c r="E117" s="21" t="str">
        <v>Asha</v>
      </c>
      <c r="F117" s="21" t="str">
        <v>Kochi</v>
      </c>
      <c r="G117" s="21" t="s">
        <v>45</v>
      </c>
      <c r="H117" s="5" t="str" cm="1">
        <f t="array" ref="H117:I117">_xlfn.TEXTSPLIT(TRIM(G117),"-")</f>
        <v>P103</v>
      </c>
      <c r="I117" s="21" t="str">
        <v>Keyboard</v>
      </c>
      <c r="J117" s="21" t="s">
        <v>64</v>
      </c>
      <c r="K117" s="4">
        <v>8</v>
      </c>
      <c r="L117" s="31">
        <v>1200</v>
      </c>
      <c r="M117" s="21" t="s">
        <v>23</v>
      </c>
      <c r="N117" s="30" t="s">
        <v>28</v>
      </c>
      <c r="O117" s="21" t="str">
        <f>VLOOKUP(H117,Product_Master!$A:$E,3,FALSE)</f>
        <v>Accessories</v>
      </c>
      <c r="P117" s="21" t="str">
        <f>VLOOKUP(H117,Product_Master!$A:$E,4,FALSE)</f>
        <v>Logitech</v>
      </c>
      <c r="Q117" s="5">
        <f>VLOOKUP(H117,Product_Master!$A:$E,5,FALSE)</f>
        <v>0.18</v>
      </c>
      <c r="R117" s="2">
        <f t="shared" si="6"/>
        <v>9600</v>
      </c>
      <c r="S117" s="2">
        <f t="shared" si="7"/>
        <v>1728</v>
      </c>
      <c r="T117" s="2">
        <f t="shared" si="8"/>
        <v>11328</v>
      </c>
    </row>
    <row r="118" spans="1:20" x14ac:dyDescent="0.2">
      <c r="A118" s="5" t="s">
        <v>268</v>
      </c>
      <c r="B118" s="3">
        <v>46219</v>
      </c>
      <c r="C118" s="21" t="s">
        <v>269</v>
      </c>
      <c r="D118" s="5" t="str" cm="1">
        <f t="array" ref="D118:F118">_xlfn.TEXTSPLIT(TRIM(C118),"-")</f>
        <v>C117</v>
      </c>
      <c r="E118" s="21" t="str">
        <v>Neha</v>
      </c>
      <c r="F118" s="21" t="str">
        <v>Thrissur</v>
      </c>
      <c r="G118" s="21" t="s">
        <v>88</v>
      </c>
      <c r="H118" s="5" t="str" cm="1">
        <f t="array" ref="H118:I118">_xlfn.TEXTSPLIT(TRIM(G118),"-")</f>
        <v>P108</v>
      </c>
      <c r="I118" s="21" t="str">
        <v>SSD</v>
      </c>
      <c r="J118" s="21" t="s">
        <v>51</v>
      </c>
      <c r="K118" s="4">
        <v>2</v>
      </c>
      <c r="L118" s="31">
        <v>6500</v>
      </c>
      <c r="M118" s="21" t="s">
        <v>23</v>
      </c>
      <c r="N118" s="30" t="s">
        <v>28</v>
      </c>
      <c r="O118" s="21" t="str">
        <f>VLOOKUP(H118,Product_Master!$A:$E,3,FALSE)</f>
        <v>Storage</v>
      </c>
      <c r="P118" s="21" t="str">
        <f>VLOOKUP(H118,Product_Master!$A:$E,4,FALSE)</f>
        <v>Samsung</v>
      </c>
      <c r="Q118" s="5">
        <f>VLOOKUP(H118,Product_Master!$A:$E,5,FALSE)</f>
        <v>0.18</v>
      </c>
      <c r="R118" s="2">
        <f t="shared" si="6"/>
        <v>13000</v>
      </c>
      <c r="S118" s="2">
        <f t="shared" si="7"/>
        <v>2340</v>
      </c>
      <c r="T118" s="2">
        <f t="shared" si="8"/>
        <v>15340</v>
      </c>
    </row>
    <row r="119" spans="1:20" x14ac:dyDescent="0.2">
      <c r="A119" s="5" t="s">
        <v>270</v>
      </c>
      <c r="B119" s="3">
        <v>46217</v>
      </c>
      <c r="C119" s="21" t="s">
        <v>271</v>
      </c>
      <c r="D119" s="5" t="str" cm="1">
        <f t="array" ref="D119:F119">_xlfn.TEXTSPLIT(TRIM(C119),"-")</f>
        <v>C118</v>
      </c>
      <c r="E119" s="21" t="str">
        <v>Nikhil</v>
      </c>
      <c r="F119" s="21" t="str">
        <v>Trivandrum</v>
      </c>
      <c r="G119" s="21" t="s">
        <v>45</v>
      </c>
      <c r="H119" s="5" t="str" cm="1">
        <f t="array" ref="H119:I119">_xlfn.TEXTSPLIT(TRIM(G119),"-")</f>
        <v>P103</v>
      </c>
      <c r="I119" s="21" t="str">
        <v>Keyboard</v>
      </c>
      <c r="J119" s="21" t="s">
        <v>12</v>
      </c>
      <c r="K119" s="4">
        <v>6</v>
      </c>
      <c r="L119" s="31">
        <v>1200</v>
      </c>
      <c r="M119" s="21" t="s">
        <v>23</v>
      </c>
      <c r="N119" s="30" t="s">
        <v>28</v>
      </c>
      <c r="O119" s="21" t="str">
        <f>VLOOKUP(H119,Product_Master!$A:$E,3,FALSE)</f>
        <v>Accessories</v>
      </c>
      <c r="P119" s="21" t="str">
        <f>VLOOKUP(H119,Product_Master!$A:$E,4,FALSE)</f>
        <v>Logitech</v>
      </c>
      <c r="Q119" s="5">
        <f>VLOOKUP(H119,Product_Master!$A:$E,5,FALSE)</f>
        <v>0.18</v>
      </c>
      <c r="R119" s="2">
        <f t="shared" si="6"/>
        <v>7200</v>
      </c>
      <c r="S119" s="2">
        <f t="shared" si="7"/>
        <v>1296</v>
      </c>
      <c r="T119" s="2">
        <f t="shared" si="8"/>
        <v>8496</v>
      </c>
    </row>
    <row r="120" spans="1:20" x14ac:dyDescent="0.2">
      <c r="A120" s="5" t="s">
        <v>272</v>
      </c>
      <c r="B120" s="3">
        <v>46206</v>
      </c>
      <c r="C120" s="21" t="s">
        <v>273</v>
      </c>
      <c r="D120" s="5" t="str" cm="1">
        <f t="array" ref="D120:F120">_xlfn.TEXTSPLIT(TRIM(C120),"-")</f>
        <v>C119</v>
      </c>
      <c r="E120" s="21" t="str">
        <v>Farhan</v>
      </c>
      <c r="F120" s="21" t="str">
        <v>Thrissur</v>
      </c>
      <c r="G120" s="21" t="s">
        <v>11</v>
      </c>
      <c r="H120" s="5" t="str" cm="1">
        <f t="array" ref="H120:I120">_xlfn.TEXTSPLIT(TRIM(G120),"-")</f>
        <v>P101</v>
      </c>
      <c r="I120" s="21" t="str">
        <v>Laptop</v>
      </c>
      <c r="J120" s="21" t="s">
        <v>51</v>
      </c>
      <c r="K120" s="4">
        <v>8</v>
      </c>
      <c r="L120" s="31">
        <v>55000</v>
      </c>
      <c r="M120" s="21" t="s">
        <v>27</v>
      </c>
      <c r="N120" s="30" t="s">
        <v>28</v>
      </c>
      <c r="O120" s="21" t="str">
        <f>VLOOKUP(H120,Product_Master!$A:$E,3,FALSE)</f>
        <v>Electronics</v>
      </c>
      <c r="P120" s="21" t="str">
        <f>VLOOKUP(H120,Product_Master!$A:$E,4,FALSE)</f>
        <v>Dell</v>
      </c>
      <c r="Q120" s="5">
        <f>VLOOKUP(H120,Product_Master!$A:$E,5,FALSE)</f>
        <v>0.18</v>
      </c>
      <c r="R120" s="2">
        <f t="shared" si="6"/>
        <v>440000</v>
      </c>
      <c r="S120" s="2">
        <f t="shared" si="7"/>
        <v>79200</v>
      </c>
      <c r="T120" s="2">
        <f t="shared" si="8"/>
        <v>519200</v>
      </c>
    </row>
    <row r="121" spans="1:20" x14ac:dyDescent="0.2">
      <c r="A121" s="5" t="s">
        <v>274</v>
      </c>
      <c r="B121" s="3">
        <v>46231</v>
      </c>
      <c r="C121" s="21" t="s">
        <v>275</v>
      </c>
      <c r="D121" s="5" t="str" cm="1">
        <f t="array" ref="D121:F121">_xlfn.TEXTSPLIT(TRIM(C121),"-")</f>
        <v>C120</v>
      </c>
      <c r="E121" s="21" t="str">
        <v>Priya</v>
      </c>
      <c r="F121" s="21" t="str">
        <v>Thrissur</v>
      </c>
      <c r="G121" s="21" t="s">
        <v>11</v>
      </c>
      <c r="H121" s="5" t="str" cm="1">
        <f t="array" ref="H121:I121">_xlfn.TEXTSPLIT(TRIM(G121),"-")</f>
        <v>P101</v>
      </c>
      <c r="I121" s="21" t="str">
        <v>Laptop</v>
      </c>
      <c r="J121" s="21" t="s">
        <v>51</v>
      </c>
      <c r="K121" s="4">
        <v>11</v>
      </c>
      <c r="L121" s="31">
        <v>55000</v>
      </c>
      <c r="M121" s="21" t="s">
        <v>23</v>
      </c>
      <c r="N121" s="30" t="s">
        <v>34</v>
      </c>
      <c r="O121" s="21" t="str">
        <f>VLOOKUP(H121,Product_Master!$A:$E,3,FALSE)</f>
        <v>Electronics</v>
      </c>
      <c r="P121" s="21" t="str">
        <f>VLOOKUP(H121,Product_Master!$A:$E,4,FALSE)</f>
        <v>Dell</v>
      </c>
      <c r="Q121" s="5">
        <f>VLOOKUP(H121,Product_Master!$A:$E,5,FALSE)</f>
        <v>0.18</v>
      </c>
      <c r="R121" s="2">
        <f t="shared" si="6"/>
        <v>605000</v>
      </c>
      <c r="S121" s="2">
        <f t="shared" si="7"/>
        <v>108900</v>
      </c>
      <c r="T121" s="2">
        <f t="shared" si="8"/>
        <v>713900</v>
      </c>
    </row>
    <row r="122" spans="1:20" x14ac:dyDescent="0.2">
      <c r="A122" s="5" t="s">
        <v>276</v>
      </c>
      <c r="B122" s="3">
        <v>46228</v>
      </c>
      <c r="C122" s="21" t="s">
        <v>277</v>
      </c>
      <c r="D122" s="5" t="str" cm="1">
        <f t="array" ref="D122:F122">_xlfn.TEXTSPLIT(TRIM(C122),"-")</f>
        <v>C121</v>
      </c>
      <c r="E122" s="21" t="str">
        <v>Anjali</v>
      </c>
      <c r="F122" s="21" t="str">
        <v>Kannur</v>
      </c>
      <c r="G122" s="21" t="s">
        <v>31</v>
      </c>
      <c r="H122" s="5" t="str" cm="1">
        <f t="array" ref="H122:I122">_xlfn.TEXTSPLIT(TRIM(G122),"-")</f>
        <v>P106</v>
      </c>
      <c r="I122" s="21" t="str">
        <v>Printer</v>
      </c>
      <c r="J122" s="21" t="s">
        <v>22</v>
      </c>
      <c r="K122" s="4">
        <v>10</v>
      </c>
      <c r="L122" s="31">
        <v>12500</v>
      </c>
      <c r="M122" s="21" t="s">
        <v>23</v>
      </c>
      <c r="N122" s="30" t="s">
        <v>19</v>
      </c>
      <c r="O122" s="21" t="str">
        <f>VLOOKUP(H122,Product_Master!$A:$E,3,FALSE)</f>
        <v>Electronics</v>
      </c>
      <c r="P122" s="21" t="str">
        <f>VLOOKUP(H122,Product_Master!$A:$E,4,FALSE)</f>
        <v>Canon</v>
      </c>
      <c r="Q122" s="5">
        <f>VLOOKUP(H122,Product_Master!$A:$E,5,FALSE)</f>
        <v>0.18</v>
      </c>
      <c r="R122" s="2">
        <f t="shared" si="6"/>
        <v>125000</v>
      </c>
      <c r="S122" s="2">
        <f t="shared" si="7"/>
        <v>22500</v>
      </c>
      <c r="T122" s="2">
        <f t="shared" si="8"/>
        <v>147500</v>
      </c>
    </row>
    <row r="123" spans="1:20" x14ac:dyDescent="0.2">
      <c r="A123" s="5" t="s">
        <v>278</v>
      </c>
      <c r="B123" s="3">
        <v>46218</v>
      </c>
      <c r="C123" s="21" t="s">
        <v>279</v>
      </c>
      <c r="D123" s="5" t="str" cm="1">
        <f t="array" ref="D123:F123">_xlfn.TEXTSPLIT(TRIM(C123),"-")</f>
        <v>C122</v>
      </c>
      <c r="E123" s="21" t="str">
        <v>Arjun</v>
      </c>
      <c r="F123" s="21" t="str">
        <v>Kollam</v>
      </c>
      <c r="G123" s="21" t="s">
        <v>45</v>
      </c>
      <c r="H123" s="5" t="str" cm="1">
        <f t="array" ref="H123:I123">_xlfn.TEXTSPLIT(TRIM(G123),"-")</f>
        <v>P103</v>
      </c>
      <c r="I123" s="21" t="str">
        <v>Keyboard</v>
      </c>
      <c r="J123" s="21" t="s">
        <v>26</v>
      </c>
      <c r="K123" s="4">
        <v>5</v>
      </c>
      <c r="L123" s="31">
        <v>1200</v>
      </c>
      <c r="M123" s="21" t="s">
        <v>23</v>
      </c>
      <c r="N123" s="30" t="s">
        <v>19</v>
      </c>
      <c r="O123" s="21" t="str">
        <f>VLOOKUP(H123,Product_Master!$A:$E,3,FALSE)</f>
        <v>Accessories</v>
      </c>
      <c r="P123" s="21" t="str">
        <f>VLOOKUP(H123,Product_Master!$A:$E,4,FALSE)</f>
        <v>Logitech</v>
      </c>
      <c r="Q123" s="5">
        <f>VLOOKUP(H123,Product_Master!$A:$E,5,FALSE)</f>
        <v>0.18</v>
      </c>
      <c r="R123" s="2">
        <f t="shared" si="6"/>
        <v>6000</v>
      </c>
      <c r="S123" s="2">
        <f t="shared" si="7"/>
        <v>1080</v>
      </c>
      <c r="T123" s="2">
        <f t="shared" si="8"/>
        <v>7080</v>
      </c>
    </row>
    <row r="124" spans="1:20" x14ac:dyDescent="0.2">
      <c r="A124" s="5" t="s">
        <v>280</v>
      </c>
      <c r="B124" s="3">
        <v>46221</v>
      </c>
      <c r="C124" s="21" t="s">
        <v>281</v>
      </c>
      <c r="D124" s="5" t="str" cm="1">
        <f t="array" ref="D124:F124">_xlfn.TEXTSPLIT(TRIM(C124),"-")</f>
        <v>C123</v>
      </c>
      <c r="E124" s="21" t="str">
        <v>Rahul</v>
      </c>
      <c r="F124" s="21" t="str">
        <v>Kannur</v>
      </c>
      <c r="G124" s="21" t="s">
        <v>45</v>
      </c>
      <c r="H124" s="5" t="str" cm="1">
        <f t="array" ref="H124:I124">_xlfn.TEXTSPLIT(TRIM(G124),"-")</f>
        <v>P103</v>
      </c>
      <c r="I124" s="21" t="str">
        <v>Keyboard</v>
      </c>
      <c r="J124" s="21" t="s">
        <v>22</v>
      </c>
      <c r="K124" s="4">
        <v>5</v>
      </c>
      <c r="L124" s="31">
        <v>1200</v>
      </c>
      <c r="M124" s="21" t="s">
        <v>23</v>
      </c>
      <c r="N124" s="30" t="s">
        <v>19</v>
      </c>
      <c r="O124" s="21" t="str">
        <f>VLOOKUP(H124,Product_Master!$A:$E,3,FALSE)</f>
        <v>Accessories</v>
      </c>
      <c r="P124" s="21" t="str">
        <f>VLOOKUP(H124,Product_Master!$A:$E,4,FALSE)</f>
        <v>Logitech</v>
      </c>
      <c r="Q124" s="5">
        <f>VLOOKUP(H124,Product_Master!$A:$E,5,FALSE)</f>
        <v>0.18</v>
      </c>
      <c r="R124" s="2">
        <f t="shared" si="6"/>
        <v>6000</v>
      </c>
      <c r="S124" s="2">
        <f t="shared" si="7"/>
        <v>1080</v>
      </c>
      <c r="T124" s="2">
        <f t="shared" si="8"/>
        <v>7080</v>
      </c>
    </row>
    <row r="125" spans="1:20" x14ac:dyDescent="0.2">
      <c r="A125" s="5" t="s">
        <v>282</v>
      </c>
      <c r="B125" s="3">
        <v>46224</v>
      </c>
      <c r="C125" s="21" t="s">
        <v>283</v>
      </c>
      <c r="D125" s="5" t="str" cm="1">
        <f t="array" ref="D125:F125">_xlfn.TEXTSPLIT(TRIM(C125),"-")</f>
        <v>C124</v>
      </c>
      <c r="E125" s="21" t="str">
        <v>Divya</v>
      </c>
      <c r="F125" s="21" t="str">
        <v>Trivandrum</v>
      </c>
      <c r="G125" s="21" t="s">
        <v>88</v>
      </c>
      <c r="H125" s="5" t="str" cm="1">
        <f t="array" ref="H125:I125">_xlfn.TEXTSPLIT(TRIM(G125),"-")</f>
        <v>P108</v>
      </c>
      <c r="I125" s="21" t="str">
        <v>SSD</v>
      </c>
      <c r="J125" s="21" t="s">
        <v>12</v>
      </c>
      <c r="K125" s="4">
        <v>2</v>
      </c>
      <c r="L125" s="31">
        <v>6500</v>
      </c>
      <c r="M125" s="21" t="s">
        <v>23</v>
      </c>
      <c r="N125" s="30" t="s">
        <v>28</v>
      </c>
      <c r="O125" s="21" t="str">
        <f>VLOOKUP(H125,Product_Master!$A:$E,3,FALSE)</f>
        <v>Storage</v>
      </c>
      <c r="P125" s="21" t="str">
        <f>VLOOKUP(H125,Product_Master!$A:$E,4,FALSE)</f>
        <v>Samsung</v>
      </c>
      <c r="Q125" s="5">
        <f>VLOOKUP(H125,Product_Master!$A:$E,5,FALSE)</f>
        <v>0.18</v>
      </c>
      <c r="R125" s="2">
        <f t="shared" si="6"/>
        <v>13000</v>
      </c>
      <c r="S125" s="2">
        <f t="shared" si="7"/>
        <v>2340</v>
      </c>
      <c r="T125" s="2">
        <f t="shared" si="8"/>
        <v>15340</v>
      </c>
    </row>
    <row r="126" spans="1:20" x14ac:dyDescent="0.2">
      <c r="A126" s="5" t="s">
        <v>284</v>
      </c>
      <c r="B126" s="3">
        <v>46219</v>
      </c>
      <c r="C126" s="21" t="s">
        <v>285</v>
      </c>
      <c r="D126" s="5" t="str" cm="1">
        <f t="array" ref="D126:F126">_xlfn.TEXTSPLIT(TRIM(C126),"-")</f>
        <v>C125</v>
      </c>
      <c r="E126" s="21" t="str">
        <v>Meera</v>
      </c>
      <c r="F126" s="21" t="str">
        <v>Kollam</v>
      </c>
      <c r="G126" s="21" t="s">
        <v>54</v>
      </c>
      <c r="H126" s="5" t="str" cm="1">
        <f t="array" ref="H126:I126">_xlfn.TEXTSPLIT(TRIM(G126),"-")</f>
        <v>P107</v>
      </c>
      <c r="I126" s="21" t="str">
        <v>Webcam</v>
      </c>
      <c r="J126" s="21" t="s">
        <v>26</v>
      </c>
      <c r="K126" s="4">
        <v>8</v>
      </c>
      <c r="L126" s="31">
        <v>3500</v>
      </c>
      <c r="M126" s="21" t="s">
        <v>23</v>
      </c>
      <c r="N126" s="30" t="s">
        <v>61</v>
      </c>
      <c r="O126" s="21" t="str">
        <f>VLOOKUP(H126,Product_Master!$A:$E,3,FALSE)</f>
        <v>Electronics</v>
      </c>
      <c r="P126" s="21" t="str">
        <f>VLOOKUP(H126,Product_Master!$A:$E,4,FALSE)</f>
        <v>Logitech</v>
      </c>
      <c r="Q126" s="5">
        <f>VLOOKUP(H126,Product_Master!$A:$E,5,FALSE)</f>
        <v>0.18</v>
      </c>
      <c r="R126" s="2">
        <f t="shared" si="6"/>
        <v>28000</v>
      </c>
      <c r="S126" s="2">
        <f t="shared" si="7"/>
        <v>5040</v>
      </c>
      <c r="T126" s="2">
        <f t="shared" si="8"/>
        <v>33040</v>
      </c>
    </row>
    <row r="127" spans="1:20" x14ac:dyDescent="0.2">
      <c r="A127" s="5" t="s">
        <v>286</v>
      </c>
      <c r="B127" s="3">
        <v>46220</v>
      </c>
      <c r="C127" s="21" t="s">
        <v>287</v>
      </c>
      <c r="D127" s="5" t="str" cm="1">
        <f t="array" ref="D127:F127">_xlfn.TEXTSPLIT(TRIM(C127),"-")</f>
        <v>C126</v>
      </c>
      <c r="E127" s="21" t="str">
        <v>Akhil</v>
      </c>
      <c r="F127" s="21" t="str">
        <v>Thrissur</v>
      </c>
      <c r="G127" s="21" t="s">
        <v>48</v>
      </c>
      <c r="H127" s="5" t="str" cm="1">
        <f t="array" ref="H127:I127">_xlfn.TEXTSPLIT(TRIM(G127),"-")</f>
        <v>P104</v>
      </c>
      <c r="I127" s="21" t="str">
        <v>Mouse</v>
      </c>
      <c r="J127" s="21" t="s">
        <v>51</v>
      </c>
      <c r="K127" s="4">
        <v>10</v>
      </c>
      <c r="L127" s="31">
        <v>750</v>
      </c>
      <c r="M127" s="21" t="s">
        <v>13</v>
      </c>
      <c r="N127" s="30" t="s">
        <v>19</v>
      </c>
      <c r="O127" s="21" t="str">
        <f>VLOOKUP(H127,Product_Master!$A:$E,3,FALSE)</f>
        <v>Accessories</v>
      </c>
      <c r="P127" s="21" t="str">
        <f>VLOOKUP(H127,Product_Master!$A:$E,4,FALSE)</f>
        <v>HP</v>
      </c>
      <c r="Q127" s="5">
        <f>VLOOKUP(H127,Product_Master!$A:$E,5,FALSE)</f>
        <v>0.18</v>
      </c>
      <c r="R127" s="2">
        <f t="shared" si="6"/>
        <v>7500</v>
      </c>
      <c r="S127" s="2">
        <f t="shared" si="7"/>
        <v>1350</v>
      </c>
      <c r="T127" s="2">
        <f t="shared" si="8"/>
        <v>8850</v>
      </c>
    </row>
    <row r="128" spans="1:20" x14ac:dyDescent="0.2">
      <c r="A128" s="5" t="s">
        <v>288</v>
      </c>
      <c r="B128" s="3">
        <v>46212</v>
      </c>
      <c r="C128" s="21" t="s">
        <v>289</v>
      </c>
      <c r="D128" s="5" t="str" cm="1">
        <f t="array" ref="D128:F128">_xlfn.TEXTSPLIT(TRIM(C128),"-")</f>
        <v>C127</v>
      </c>
      <c r="E128" s="21" t="str">
        <v>Sanjay</v>
      </c>
      <c r="F128" s="21" t="str">
        <v>Thrissur</v>
      </c>
      <c r="G128" s="21" t="s">
        <v>31</v>
      </c>
      <c r="H128" s="5" t="str" cm="1">
        <f t="array" ref="H128:I128">_xlfn.TEXTSPLIT(TRIM(G128),"-")</f>
        <v>P106</v>
      </c>
      <c r="I128" s="21" t="str">
        <v>Printer</v>
      </c>
      <c r="J128" s="21" t="s">
        <v>51</v>
      </c>
      <c r="K128" s="4">
        <v>9</v>
      </c>
      <c r="L128" s="31">
        <v>12500</v>
      </c>
      <c r="M128" s="21" t="s">
        <v>27</v>
      </c>
      <c r="N128" s="30" t="s">
        <v>28</v>
      </c>
      <c r="O128" s="21" t="str">
        <f>VLOOKUP(H128,Product_Master!$A:$E,3,FALSE)</f>
        <v>Electronics</v>
      </c>
      <c r="P128" s="21" t="str">
        <f>VLOOKUP(H128,Product_Master!$A:$E,4,FALSE)</f>
        <v>Canon</v>
      </c>
      <c r="Q128" s="5">
        <f>VLOOKUP(H128,Product_Master!$A:$E,5,FALSE)</f>
        <v>0.18</v>
      </c>
      <c r="R128" s="2">
        <f t="shared" si="6"/>
        <v>112500</v>
      </c>
      <c r="S128" s="2">
        <f t="shared" si="7"/>
        <v>20250</v>
      </c>
      <c r="T128" s="2">
        <f t="shared" si="8"/>
        <v>132750</v>
      </c>
    </row>
    <row r="129" spans="1:20" x14ac:dyDescent="0.2">
      <c r="A129" s="5" t="s">
        <v>290</v>
      </c>
      <c r="B129" s="3">
        <v>46221</v>
      </c>
      <c r="C129" s="21" t="s">
        <v>291</v>
      </c>
      <c r="D129" s="5" t="str" cm="1">
        <f t="array" ref="D129:F129">_xlfn.TEXTSPLIT(TRIM(C129),"-")</f>
        <v>C128</v>
      </c>
      <c r="E129" s="21" t="str">
        <v>Asha</v>
      </c>
      <c r="F129" s="21" t="str">
        <v>Alappuzha</v>
      </c>
      <c r="G129" s="21" t="s">
        <v>45</v>
      </c>
      <c r="H129" s="5" t="str" cm="1">
        <f t="array" ref="H129:I129">_xlfn.TEXTSPLIT(TRIM(G129),"-")</f>
        <v>P103</v>
      </c>
      <c r="I129" s="21" t="str">
        <v>Keyboard</v>
      </c>
      <c r="J129" s="21" t="s">
        <v>42</v>
      </c>
      <c r="K129" s="4">
        <v>8</v>
      </c>
      <c r="L129" s="31">
        <v>1200</v>
      </c>
      <c r="M129" s="21" t="s">
        <v>27</v>
      </c>
      <c r="N129" s="30" t="s">
        <v>28</v>
      </c>
      <c r="O129" s="21" t="str">
        <f>VLOOKUP(H129,Product_Master!$A:$E,3,FALSE)</f>
        <v>Accessories</v>
      </c>
      <c r="P129" s="21" t="str">
        <f>VLOOKUP(H129,Product_Master!$A:$E,4,FALSE)</f>
        <v>Logitech</v>
      </c>
      <c r="Q129" s="5">
        <f>VLOOKUP(H129,Product_Master!$A:$E,5,FALSE)</f>
        <v>0.18</v>
      </c>
      <c r="R129" s="2">
        <f t="shared" si="6"/>
        <v>9600</v>
      </c>
      <c r="S129" s="2">
        <f t="shared" si="7"/>
        <v>1728</v>
      </c>
      <c r="T129" s="2">
        <f t="shared" si="8"/>
        <v>11328</v>
      </c>
    </row>
    <row r="130" spans="1:20" x14ac:dyDescent="0.2">
      <c r="A130" s="5" t="s">
        <v>292</v>
      </c>
      <c r="B130" s="3">
        <v>46231</v>
      </c>
      <c r="C130" s="21" t="s">
        <v>293</v>
      </c>
      <c r="D130" s="5" t="str" cm="1">
        <f t="array" ref="D130:F130">_xlfn.TEXTSPLIT(TRIM(C130),"-")</f>
        <v>C129</v>
      </c>
      <c r="E130" s="21" t="str">
        <v>Ravi</v>
      </c>
      <c r="F130" s="21" t="str">
        <v>Thrissur</v>
      </c>
      <c r="G130" s="21" t="s">
        <v>88</v>
      </c>
      <c r="H130" s="5" t="str" cm="1">
        <f t="array" ref="H130:I130">_xlfn.TEXTSPLIT(TRIM(G130),"-")</f>
        <v>P108</v>
      </c>
      <c r="I130" s="21" t="str">
        <v>SSD</v>
      </c>
      <c r="J130" s="21" t="s">
        <v>51</v>
      </c>
      <c r="K130" s="4">
        <v>6</v>
      </c>
      <c r="L130" s="31">
        <v>6500</v>
      </c>
      <c r="M130" s="21" t="s">
        <v>13</v>
      </c>
      <c r="N130" s="30" t="s">
        <v>61</v>
      </c>
      <c r="O130" s="21" t="str">
        <f>VLOOKUP(H130,Product_Master!$A:$E,3,FALSE)</f>
        <v>Storage</v>
      </c>
      <c r="P130" s="21" t="str">
        <f>VLOOKUP(H130,Product_Master!$A:$E,4,FALSE)</f>
        <v>Samsung</v>
      </c>
      <c r="Q130" s="5">
        <f>VLOOKUP(H130,Product_Master!$A:$E,5,FALSE)</f>
        <v>0.18</v>
      </c>
      <c r="R130" s="2">
        <f t="shared" si="6"/>
        <v>39000</v>
      </c>
      <c r="S130" s="2">
        <f t="shared" si="7"/>
        <v>7020</v>
      </c>
      <c r="T130" s="2">
        <f t="shared" si="8"/>
        <v>46020</v>
      </c>
    </row>
    <row r="131" spans="1:20" x14ac:dyDescent="0.2">
      <c r="A131" s="5" t="s">
        <v>294</v>
      </c>
      <c r="B131" s="3">
        <v>46214</v>
      </c>
      <c r="C131" s="21" t="s">
        <v>295</v>
      </c>
      <c r="D131" s="5" t="str" cm="1">
        <f t="array" ref="D131:F131">_xlfn.TEXTSPLIT(TRIM(C131),"-")</f>
        <v>C130</v>
      </c>
      <c r="E131" s="21" t="str">
        <v>Vishnu</v>
      </c>
      <c r="F131" s="21" t="str">
        <v>Kannur</v>
      </c>
      <c r="G131" s="21" t="s">
        <v>54</v>
      </c>
      <c r="H131" s="5" t="str" cm="1">
        <f t="array" ref="H131:I131">_xlfn.TEXTSPLIT(TRIM(G131),"-")</f>
        <v>P107</v>
      </c>
      <c r="I131" s="21" t="str">
        <v>Webcam</v>
      </c>
      <c r="J131" s="21" t="s">
        <v>22</v>
      </c>
      <c r="K131" s="4">
        <v>1</v>
      </c>
      <c r="L131" s="31">
        <v>3500</v>
      </c>
      <c r="M131" s="21" t="s">
        <v>23</v>
      </c>
      <c r="N131" s="30" t="s">
        <v>34</v>
      </c>
      <c r="O131" s="21" t="str">
        <f>VLOOKUP(H131,Product_Master!$A:$E,3,FALSE)</f>
        <v>Electronics</v>
      </c>
      <c r="P131" s="21" t="str">
        <f>VLOOKUP(H131,Product_Master!$A:$E,4,FALSE)</f>
        <v>Logitech</v>
      </c>
      <c r="Q131" s="5">
        <f>VLOOKUP(H131,Product_Master!$A:$E,5,FALSE)</f>
        <v>0.18</v>
      </c>
      <c r="R131" s="2">
        <f t="shared" ref="R131:R194" si="9">K131*L131</f>
        <v>3500</v>
      </c>
      <c r="S131" s="2">
        <f t="shared" ref="S131:S194" si="10">R131*Q131</f>
        <v>630</v>
      </c>
      <c r="T131" s="2">
        <f t="shared" ref="T131:T194" si="11">R131+S131</f>
        <v>4130</v>
      </c>
    </row>
    <row r="132" spans="1:20" x14ac:dyDescent="0.2">
      <c r="A132" s="5" t="s">
        <v>296</v>
      </c>
      <c r="B132" s="3">
        <v>46208</v>
      </c>
      <c r="C132" s="21" t="s">
        <v>297</v>
      </c>
      <c r="D132" s="5" t="str" cm="1">
        <f t="array" ref="D132:F132">_xlfn.TEXTSPLIT(TRIM(C132),"-")</f>
        <v>C131</v>
      </c>
      <c r="E132" s="21" t="str">
        <v>Vishnu</v>
      </c>
      <c r="F132" s="21" t="str">
        <v>Kozhikode</v>
      </c>
      <c r="G132" s="21" t="s">
        <v>88</v>
      </c>
      <c r="H132" s="5" t="str" cm="1">
        <f t="array" ref="H132:I132">_xlfn.TEXTSPLIT(TRIM(G132),"-")</f>
        <v>P108</v>
      </c>
      <c r="I132" s="21" t="str">
        <v>SSD</v>
      </c>
      <c r="J132" s="21" t="s">
        <v>71</v>
      </c>
      <c r="K132" s="4">
        <v>1</v>
      </c>
      <c r="L132" s="31">
        <v>6500</v>
      </c>
      <c r="M132" s="21" t="s">
        <v>27</v>
      </c>
      <c r="N132" s="30" t="s">
        <v>19</v>
      </c>
      <c r="O132" s="21" t="str">
        <f>VLOOKUP(H132,Product_Master!$A:$E,3,FALSE)</f>
        <v>Storage</v>
      </c>
      <c r="P132" s="21" t="str">
        <f>VLOOKUP(H132,Product_Master!$A:$E,4,FALSE)</f>
        <v>Samsung</v>
      </c>
      <c r="Q132" s="5">
        <f>VLOOKUP(H132,Product_Master!$A:$E,5,FALSE)</f>
        <v>0.18</v>
      </c>
      <c r="R132" s="2">
        <f t="shared" si="9"/>
        <v>6500</v>
      </c>
      <c r="S132" s="2">
        <f t="shared" si="10"/>
        <v>1170</v>
      </c>
      <c r="T132" s="2">
        <f t="shared" si="11"/>
        <v>7670</v>
      </c>
    </row>
    <row r="133" spans="1:20" x14ac:dyDescent="0.2">
      <c r="A133" s="5" t="s">
        <v>298</v>
      </c>
      <c r="B133" s="3">
        <v>46227</v>
      </c>
      <c r="C133" s="21" t="s">
        <v>299</v>
      </c>
      <c r="D133" s="5" t="str" cm="1">
        <f t="array" ref="D133:F133">_xlfn.TEXTSPLIT(TRIM(C133),"-")</f>
        <v>C132</v>
      </c>
      <c r="E133" s="21" t="str">
        <v>Lakshmi</v>
      </c>
      <c r="F133" s="21" t="str">
        <v>Trivandrum</v>
      </c>
      <c r="G133" s="21" t="s">
        <v>88</v>
      </c>
      <c r="H133" s="5" t="str" cm="1">
        <f t="array" ref="H133:I133">_xlfn.TEXTSPLIT(TRIM(G133),"-")</f>
        <v>P108</v>
      </c>
      <c r="I133" s="21" t="str">
        <v>SSD</v>
      </c>
      <c r="J133" s="21" t="s">
        <v>12</v>
      </c>
      <c r="K133" s="4">
        <v>1</v>
      </c>
      <c r="L133" s="31">
        <v>6500</v>
      </c>
      <c r="M133" s="21" t="s">
        <v>23</v>
      </c>
      <c r="N133" s="30" t="s">
        <v>14</v>
      </c>
      <c r="O133" s="21" t="str">
        <f>VLOOKUP(H133,Product_Master!$A:$E,3,FALSE)</f>
        <v>Storage</v>
      </c>
      <c r="P133" s="21" t="str">
        <f>VLOOKUP(H133,Product_Master!$A:$E,4,FALSE)</f>
        <v>Samsung</v>
      </c>
      <c r="Q133" s="5">
        <f>VLOOKUP(H133,Product_Master!$A:$E,5,FALSE)</f>
        <v>0.18</v>
      </c>
      <c r="R133" s="2">
        <f t="shared" si="9"/>
        <v>6500</v>
      </c>
      <c r="S133" s="2">
        <f t="shared" si="10"/>
        <v>1170</v>
      </c>
      <c r="T133" s="2">
        <f t="shared" si="11"/>
        <v>7670</v>
      </c>
    </row>
    <row r="134" spans="1:20" x14ac:dyDescent="0.2">
      <c r="A134" s="5" t="s">
        <v>300</v>
      </c>
      <c r="B134" s="3">
        <v>46223</v>
      </c>
      <c r="C134" s="21" t="s">
        <v>301</v>
      </c>
      <c r="D134" s="5" t="str" cm="1">
        <f t="array" ref="D134:F134">_xlfn.TEXTSPLIT(TRIM(C134),"-")</f>
        <v>C133</v>
      </c>
      <c r="E134" s="21" t="str">
        <v>Mohammed</v>
      </c>
      <c r="F134" s="21" t="str">
        <v>Alappuzha</v>
      </c>
      <c r="G134" s="21" t="s">
        <v>39</v>
      </c>
      <c r="H134" s="5" t="str" cm="1">
        <f t="array" ref="H134:I134">_xlfn.TEXTSPLIT(TRIM(G134),"-")</f>
        <v>P105</v>
      </c>
      <c r="I134" s="21" t="str">
        <v>Headphones</v>
      </c>
      <c r="J134" s="21" t="s">
        <v>42</v>
      </c>
      <c r="K134" s="4">
        <v>6</v>
      </c>
      <c r="L134" s="31">
        <v>2500</v>
      </c>
      <c r="M134" s="21" t="s">
        <v>23</v>
      </c>
      <c r="N134" s="30" t="s">
        <v>19</v>
      </c>
      <c r="O134" s="21" t="str">
        <f>VLOOKUP(H134,Product_Master!$A:$E,3,FALSE)</f>
        <v>Accessories</v>
      </c>
      <c r="P134" s="21" t="str">
        <f>VLOOKUP(H134,Product_Master!$A:$E,4,FALSE)</f>
        <v>Sony</v>
      </c>
      <c r="Q134" s="5">
        <f>VLOOKUP(H134,Product_Master!$A:$E,5,FALSE)</f>
        <v>0.18</v>
      </c>
      <c r="R134" s="2">
        <f t="shared" si="9"/>
        <v>15000</v>
      </c>
      <c r="S134" s="2">
        <f t="shared" si="10"/>
        <v>2700</v>
      </c>
      <c r="T134" s="2">
        <f t="shared" si="11"/>
        <v>17700</v>
      </c>
    </row>
    <row r="135" spans="1:20" x14ac:dyDescent="0.2">
      <c r="A135" s="5" t="s">
        <v>302</v>
      </c>
      <c r="B135" s="3">
        <v>46226</v>
      </c>
      <c r="C135" s="21" t="s">
        <v>303</v>
      </c>
      <c r="D135" s="5" t="str" cm="1">
        <f t="array" ref="D135:F135">_xlfn.TEXTSPLIT(TRIM(C135),"-")</f>
        <v>C134</v>
      </c>
      <c r="E135" s="21" t="str">
        <v>Nikhil</v>
      </c>
      <c r="F135" s="21" t="str">
        <v>Thrissur</v>
      </c>
      <c r="G135" s="21" t="s">
        <v>31</v>
      </c>
      <c r="H135" s="5" t="str" cm="1">
        <f t="array" ref="H135:I135">_xlfn.TEXTSPLIT(TRIM(G135),"-")</f>
        <v>P106</v>
      </c>
      <c r="I135" s="21" t="str">
        <v>Printer</v>
      </c>
      <c r="J135" s="21" t="s">
        <v>51</v>
      </c>
      <c r="K135" s="4">
        <v>11</v>
      </c>
      <c r="L135" s="31">
        <v>12500</v>
      </c>
      <c r="M135" s="21" t="s">
        <v>18</v>
      </c>
      <c r="N135" s="30" t="s">
        <v>61</v>
      </c>
      <c r="O135" s="21" t="str">
        <f>VLOOKUP(H135,Product_Master!$A:$E,3,FALSE)</f>
        <v>Electronics</v>
      </c>
      <c r="P135" s="21" t="str">
        <f>VLOOKUP(H135,Product_Master!$A:$E,4,FALSE)</f>
        <v>Canon</v>
      </c>
      <c r="Q135" s="5">
        <f>VLOOKUP(H135,Product_Master!$A:$E,5,FALSE)</f>
        <v>0.18</v>
      </c>
      <c r="R135" s="2">
        <f t="shared" si="9"/>
        <v>137500</v>
      </c>
      <c r="S135" s="2">
        <f t="shared" si="10"/>
        <v>24750</v>
      </c>
      <c r="T135" s="2">
        <f t="shared" si="11"/>
        <v>162250</v>
      </c>
    </row>
    <row r="136" spans="1:20" x14ac:dyDescent="0.2">
      <c r="A136" s="5" t="s">
        <v>304</v>
      </c>
      <c r="B136" s="3">
        <v>46227</v>
      </c>
      <c r="C136" s="21" t="s">
        <v>305</v>
      </c>
      <c r="D136" s="5" t="str" cm="1">
        <f t="array" ref="D136:F136">_xlfn.TEXTSPLIT(TRIM(C136),"-")</f>
        <v>C135</v>
      </c>
      <c r="E136" s="21" t="str">
        <v>Mohammed</v>
      </c>
      <c r="F136" s="21" t="str">
        <v>Kannur</v>
      </c>
      <c r="G136" s="21" t="s">
        <v>39</v>
      </c>
      <c r="H136" s="5" t="str" cm="1">
        <f t="array" ref="H136:I136">_xlfn.TEXTSPLIT(TRIM(G136),"-")</f>
        <v>P105</v>
      </c>
      <c r="I136" s="21" t="str">
        <v>Headphones</v>
      </c>
      <c r="J136" s="21" t="s">
        <v>22</v>
      </c>
      <c r="K136" s="4">
        <v>4</v>
      </c>
      <c r="L136" s="31">
        <v>2500</v>
      </c>
      <c r="M136" s="21" t="s">
        <v>23</v>
      </c>
      <c r="N136" s="30" t="s">
        <v>19</v>
      </c>
      <c r="O136" s="21" t="str">
        <f>VLOOKUP(H136,Product_Master!$A:$E,3,FALSE)</f>
        <v>Accessories</v>
      </c>
      <c r="P136" s="21" t="str">
        <f>VLOOKUP(H136,Product_Master!$A:$E,4,FALSE)</f>
        <v>Sony</v>
      </c>
      <c r="Q136" s="5">
        <f>VLOOKUP(H136,Product_Master!$A:$E,5,FALSE)</f>
        <v>0.18</v>
      </c>
      <c r="R136" s="2">
        <f t="shared" si="9"/>
        <v>10000</v>
      </c>
      <c r="S136" s="2">
        <f t="shared" si="10"/>
        <v>1800</v>
      </c>
      <c r="T136" s="2">
        <f t="shared" si="11"/>
        <v>11800</v>
      </c>
    </row>
    <row r="137" spans="1:20" x14ac:dyDescent="0.2">
      <c r="A137" s="5" t="s">
        <v>306</v>
      </c>
      <c r="B137" s="3">
        <v>46226</v>
      </c>
      <c r="C137" s="21" t="s">
        <v>307</v>
      </c>
      <c r="D137" s="5" t="str" cm="1">
        <f t="array" ref="D137:F137">_xlfn.TEXTSPLIT(TRIM(C137),"-")</f>
        <v>C136</v>
      </c>
      <c r="E137" s="21" t="str">
        <v>Nandana</v>
      </c>
      <c r="F137" s="21" t="str">
        <v>Trivandrum</v>
      </c>
      <c r="G137" s="21" t="s">
        <v>88</v>
      </c>
      <c r="H137" s="5" t="str" cm="1">
        <f t="array" ref="H137:I137">_xlfn.TEXTSPLIT(TRIM(G137),"-")</f>
        <v>P108</v>
      </c>
      <c r="I137" s="21" t="str">
        <v>SSD</v>
      </c>
      <c r="J137" s="21" t="s">
        <v>12</v>
      </c>
      <c r="K137" s="4">
        <v>3</v>
      </c>
      <c r="L137" s="31">
        <v>6500</v>
      </c>
      <c r="M137" s="21" t="s">
        <v>18</v>
      </c>
      <c r="N137" s="30" t="s">
        <v>19</v>
      </c>
      <c r="O137" s="21" t="str">
        <f>VLOOKUP(H137,Product_Master!$A:$E,3,FALSE)</f>
        <v>Storage</v>
      </c>
      <c r="P137" s="21" t="str">
        <f>VLOOKUP(H137,Product_Master!$A:$E,4,FALSE)</f>
        <v>Samsung</v>
      </c>
      <c r="Q137" s="5">
        <f>VLOOKUP(H137,Product_Master!$A:$E,5,FALSE)</f>
        <v>0.18</v>
      </c>
      <c r="R137" s="2">
        <f t="shared" si="9"/>
        <v>19500</v>
      </c>
      <c r="S137" s="2">
        <f t="shared" si="10"/>
        <v>3510</v>
      </c>
      <c r="T137" s="2">
        <f t="shared" si="11"/>
        <v>23010</v>
      </c>
    </row>
    <row r="138" spans="1:20" x14ac:dyDescent="0.2">
      <c r="A138" s="5" t="s">
        <v>308</v>
      </c>
      <c r="B138" s="3">
        <v>46215</v>
      </c>
      <c r="C138" s="21" t="s">
        <v>309</v>
      </c>
      <c r="D138" s="5" t="str" cm="1">
        <f t="array" ref="D138:F138">_xlfn.TEXTSPLIT(TRIM(C138),"-")</f>
        <v>C137</v>
      </c>
      <c r="E138" s="21" t="str">
        <v>Nikhil</v>
      </c>
      <c r="F138" s="21" t="str">
        <v>Kochi</v>
      </c>
      <c r="G138" s="21" t="s">
        <v>39</v>
      </c>
      <c r="H138" s="5" t="str" cm="1">
        <f t="array" ref="H138:I138">_xlfn.TEXTSPLIT(TRIM(G138),"-")</f>
        <v>P105</v>
      </c>
      <c r="I138" s="21" t="str">
        <v>Headphones</v>
      </c>
      <c r="J138" s="21" t="s">
        <v>64</v>
      </c>
      <c r="K138" s="4">
        <v>6</v>
      </c>
      <c r="L138" s="31">
        <v>2500</v>
      </c>
      <c r="M138" s="21" t="s">
        <v>13</v>
      </c>
      <c r="N138" s="30" t="s">
        <v>14</v>
      </c>
      <c r="O138" s="21" t="str">
        <f>VLOOKUP(H138,Product_Master!$A:$E,3,FALSE)</f>
        <v>Accessories</v>
      </c>
      <c r="P138" s="21" t="str">
        <f>VLOOKUP(H138,Product_Master!$A:$E,4,FALSE)</f>
        <v>Sony</v>
      </c>
      <c r="Q138" s="5">
        <f>VLOOKUP(H138,Product_Master!$A:$E,5,FALSE)</f>
        <v>0.18</v>
      </c>
      <c r="R138" s="2">
        <f t="shared" si="9"/>
        <v>15000</v>
      </c>
      <c r="S138" s="2">
        <f t="shared" si="10"/>
        <v>2700</v>
      </c>
      <c r="T138" s="2">
        <f t="shared" si="11"/>
        <v>17700</v>
      </c>
    </row>
    <row r="139" spans="1:20" x14ac:dyDescent="0.2">
      <c r="A139" s="5" t="s">
        <v>310</v>
      </c>
      <c r="B139" s="3">
        <v>46209</v>
      </c>
      <c r="C139" s="21" t="s">
        <v>311</v>
      </c>
      <c r="D139" s="5" t="str" cm="1">
        <f t="array" ref="D139:F139">_xlfn.TEXTSPLIT(TRIM(C139),"-")</f>
        <v>C138</v>
      </c>
      <c r="E139" s="21" t="str">
        <v>Meera</v>
      </c>
      <c r="F139" s="21" t="str">
        <v>Thrissur</v>
      </c>
      <c r="G139" s="21" t="s">
        <v>45</v>
      </c>
      <c r="H139" s="5" t="str" cm="1">
        <f t="array" ref="H139:I139">_xlfn.TEXTSPLIT(TRIM(G139),"-")</f>
        <v>P103</v>
      </c>
      <c r="I139" s="21" t="str">
        <v>Keyboard</v>
      </c>
      <c r="J139" s="21" t="s">
        <v>51</v>
      </c>
      <c r="K139" s="4">
        <v>3</v>
      </c>
      <c r="L139" s="31">
        <v>1200</v>
      </c>
      <c r="M139" s="21" t="s">
        <v>23</v>
      </c>
      <c r="N139" s="30" t="s">
        <v>61</v>
      </c>
      <c r="O139" s="21" t="str">
        <f>VLOOKUP(H139,Product_Master!$A:$E,3,FALSE)</f>
        <v>Accessories</v>
      </c>
      <c r="P139" s="21" t="str">
        <f>VLOOKUP(H139,Product_Master!$A:$E,4,FALSE)</f>
        <v>Logitech</v>
      </c>
      <c r="Q139" s="5">
        <f>VLOOKUP(H139,Product_Master!$A:$E,5,FALSE)</f>
        <v>0.18</v>
      </c>
      <c r="R139" s="2">
        <f t="shared" si="9"/>
        <v>3600</v>
      </c>
      <c r="S139" s="2">
        <f t="shared" si="10"/>
        <v>648</v>
      </c>
      <c r="T139" s="2">
        <f t="shared" si="11"/>
        <v>4248</v>
      </c>
    </row>
    <row r="140" spans="1:20" x14ac:dyDescent="0.2">
      <c r="A140" s="5" t="s">
        <v>312</v>
      </c>
      <c r="B140" s="3">
        <v>46208</v>
      </c>
      <c r="C140" s="21" t="s">
        <v>313</v>
      </c>
      <c r="D140" s="5" t="str" cm="1">
        <f t="array" ref="D140:F140">_xlfn.TEXTSPLIT(TRIM(C140),"-")</f>
        <v>C139</v>
      </c>
      <c r="E140" s="21" t="str">
        <v>Farhan</v>
      </c>
      <c r="F140" s="21" t="str">
        <v>Kannur</v>
      </c>
      <c r="G140" s="21" t="s">
        <v>88</v>
      </c>
      <c r="H140" s="5" t="str" cm="1">
        <f t="array" ref="H140:I140">_xlfn.TEXTSPLIT(TRIM(G140),"-")</f>
        <v>P108</v>
      </c>
      <c r="I140" s="21" t="str">
        <v>SSD</v>
      </c>
      <c r="J140" s="21" t="s">
        <v>22</v>
      </c>
      <c r="K140" s="4">
        <v>10</v>
      </c>
      <c r="L140" s="31">
        <v>6500</v>
      </c>
      <c r="M140" s="21" t="s">
        <v>23</v>
      </c>
      <c r="N140" s="30" t="s">
        <v>28</v>
      </c>
      <c r="O140" s="21" t="str">
        <f>VLOOKUP(H140,Product_Master!$A:$E,3,FALSE)</f>
        <v>Storage</v>
      </c>
      <c r="P140" s="21" t="str">
        <f>VLOOKUP(H140,Product_Master!$A:$E,4,FALSE)</f>
        <v>Samsung</v>
      </c>
      <c r="Q140" s="5">
        <f>VLOOKUP(H140,Product_Master!$A:$E,5,FALSE)</f>
        <v>0.18</v>
      </c>
      <c r="R140" s="2">
        <f t="shared" si="9"/>
        <v>65000</v>
      </c>
      <c r="S140" s="2">
        <f t="shared" si="10"/>
        <v>11700</v>
      </c>
      <c r="T140" s="2">
        <f t="shared" si="11"/>
        <v>76700</v>
      </c>
    </row>
    <row r="141" spans="1:20" x14ac:dyDescent="0.2">
      <c r="A141" s="5" t="s">
        <v>314</v>
      </c>
      <c r="B141" s="3">
        <v>46232</v>
      </c>
      <c r="C141" s="21" t="s">
        <v>315</v>
      </c>
      <c r="D141" s="5" t="str" cm="1">
        <f t="array" ref="D141:F141">_xlfn.TEXTSPLIT(TRIM(C141),"-")</f>
        <v>C140</v>
      </c>
      <c r="E141" s="21" t="str">
        <v>Lakshmi</v>
      </c>
      <c r="F141" s="21" t="str">
        <v>Kollam</v>
      </c>
      <c r="G141" s="21" t="s">
        <v>11</v>
      </c>
      <c r="H141" s="5" t="str" cm="1">
        <f t="array" ref="H141:I141">_xlfn.TEXTSPLIT(TRIM(G141),"-")</f>
        <v>P101</v>
      </c>
      <c r="I141" s="21" t="str">
        <v>Laptop</v>
      </c>
      <c r="J141" s="21" t="s">
        <v>26</v>
      </c>
      <c r="K141" s="4">
        <v>8</v>
      </c>
      <c r="L141" s="31">
        <v>55000</v>
      </c>
      <c r="M141" s="21" t="s">
        <v>13</v>
      </c>
      <c r="N141" s="30" t="s">
        <v>19</v>
      </c>
      <c r="O141" s="21" t="str">
        <f>VLOOKUP(H141,Product_Master!$A:$E,3,FALSE)</f>
        <v>Electronics</v>
      </c>
      <c r="P141" s="21" t="str">
        <f>VLOOKUP(H141,Product_Master!$A:$E,4,FALSE)</f>
        <v>Dell</v>
      </c>
      <c r="Q141" s="5">
        <f>VLOOKUP(H141,Product_Master!$A:$E,5,FALSE)</f>
        <v>0.18</v>
      </c>
      <c r="R141" s="2">
        <f t="shared" si="9"/>
        <v>440000</v>
      </c>
      <c r="S141" s="2">
        <f t="shared" si="10"/>
        <v>79200</v>
      </c>
      <c r="T141" s="2">
        <f t="shared" si="11"/>
        <v>519200</v>
      </c>
    </row>
    <row r="142" spans="1:20" x14ac:dyDescent="0.2">
      <c r="A142" s="5" t="s">
        <v>316</v>
      </c>
      <c r="B142" s="3">
        <v>46234</v>
      </c>
      <c r="C142" s="21" t="s">
        <v>317</v>
      </c>
      <c r="D142" s="5" t="str" cm="1">
        <f t="array" ref="D142:F142">_xlfn.TEXTSPLIT(TRIM(C142),"-")</f>
        <v>C141</v>
      </c>
      <c r="E142" s="21" t="str">
        <v>Lakshmi</v>
      </c>
      <c r="F142" s="21" t="str">
        <v>Malappuram</v>
      </c>
      <c r="G142" s="21" t="s">
        <v>39</v>
      </c>
      <c r="H142" s="5" t="str" cm="1">
        <f t="array" ref="H142:I142">_xlfn.TEXTSPLIT(TRIM(G142),"-")</f>
        <v>P105</v>
      </c>
      <c r="I142" s="21" t="str">
        <v>Headphones</v>
      </c>
      <c r="J142" s="21" t="s">
        <v>113</v>
      </c>
      <c r="K142" s="4">
        <v>11</v>
      </c>
      <c r="L142" s="31">
        <v>2500</v>
      </c>
      <c r="M142" s="21" t="s">
        <v>27</v>
      </c>
      <c r="N142" s="30" t="s">
        <v>34</v>
      </c>
      <c r="O142" s="21" t="str">
        <f>VLOOKUP(H142,Product_Master!$A:$E,3,FALSE)</f>
        <v>Accessories</v>
      </c>
      <c r="P142" s="21" t="str">
        <f>VLOOKUP(H142,Product_Master!$A:$E,4,FALSE)</f>
        <v>Sony</v>
      </c>
      <c r="Q142" s="5">
        <f>VLOOKUP(H142,Product_Master!$A:$E,5,FALSE)</f>
        <v>0.18</v>
      </c>
      <c r="R142" s="2">
        <f t="shared" si="9"/>
        <v>27500</v>
      </c>
      <c r="S142" s="2">
        <f t="shared" si="10"/>
        <v>4950</v>
      </c>
      <c r="T142" s="2">
        <f t="shared" si="11"/>
        <v>32450</v>
      </c>
    </row>
    <row r="143" spans="1:20" x14ac:dyDescent="0.2">
      <c r="A143" s="5" t="s">
        <v>318</v>
      </c>
      <c r="B143" s="3">
        <v>46207</v>
      </c>
      <c r="C143" s="21" t="s">
        <v>319</v>
      </c>
      <c r="D143" s="5" t="str" cm="1">
        <f t="array" ref="D143:F143">_xlfn.TEXTSPLIT(TRIM(C143),"-")</f>
        <v>C142</v>
      </c>
      <c r="E143" s="21" t="str">
        <v>Fathima</v>
      </c>
      <c r="F143" s="21" t="str">
        <v>Kannur</v>
      </c>
      <c r="G143" s="21" t="s">
        <v>54</v>
      </c>
      <c r="H143" s="5" t="str" cm="1">
        <f t="array" ref="H143:I143">_xlfn.TEXTSPLIT(TRIM(G143),"-")</f>
        <v>P107</v>
      </c>
      <c r="I143" s="21" t="str">
        <v>Webcam</v>
      </c>
      <c r="J143" s="21" t="s">
        <v>22</v>
      </c>
      <c r="K143" s="4">
        <v>8</v>
      </c>
      <c r="L143" s="31">
        <v>3500</v>
      </c>
      <c r="M143" s="21" t="s">
        <v>23</v>
      </c>
      <c r="N143" s="30" t="s">
        <v>61</v>
      </c>
      <c r="O143" s="21" t="str">
        <f>VLOOKUP(H143,Product_Master!$A:$E,3,FALSE)</f>
        <v>Electronics</v>
      </c>
      <c r="P143" s="21" t="str">
        <f>VLOOKUP(H143,Product_Master!$A:$E,4,FALSE)</f>
        <v>Logitech</v>
      </c>
      <c r="Q143" s="5">
        <f>VLOOKUP(H143,Product_Master!$A:$E,5,FALSE)</f>
        <v>0.18</v>
      </c>
      <c r="R143" s="2">
        <f t="shared" si="9"/>
        <v>28000</v>
      </c>
      <c r="S143" s="2">
        <f t="shared" si="10"/>
        <v>5040</v>
      </c>
      <c r="T143" s="2">
        <f t="shared" si="11"/>
        <v>33040</v>
      </c>
    </row>
    <row r="144" spans="1:20" x14ac:dyDescent="0.2">
      <c r="A144" s="5" t="s">
        <v>320</v>
      </c>
      <c r="B144" s="3">
        <v>46230</v>
      </c>
      <c r="C144" s="21" t="s">
        <v>321</v>
      </c>
      <c r="D144" s="5" t="str" cm="1">
        <f t="array" ref="D144:F144">_xlfn.TEXTSPLIT(TRIM(C144),"-")</f>
        <v>C143</v>
      </c>
      <c r="E144" s="21" t="str">
        <v>Sneha</v>
      </c>
      <c r="F144" s="21" t="str">
        <v>Kollam</v>
      </c>
      <c r="G144" s="21" t="s">
        <v>39</v>
      </c>
      <c r="H144" s="5" t="str" cm="1">
        <f t="array" ref="H144:I144">_xlfn.TEXTSPLIT(TRIM(G144),"-")</f>
        <v>P105</v>
      </c>
      <c r="I144" s="21" t="str">
        <v>Headphones</v>
      </c>
      <c r="J144" s="21" t="s">
        <v>26</v>
      </c>
      <c r="K144" s="4">
        <v>1</v>
      </c>
      <c r="L144" s="31">
        <v>2500</v>
      </c>
      <c r="M144" s="21" t="s">
        <v>23</v>
      </c>
      <c r="N144" s="30" t="s">
        <v>28</v>
      </c>
      <c r="O144" s="21" t="str">
        <f>VLOOKUP(H144,Product_Master!$A:$E,3,FALSE)</f>
        <v>Accessories</v>
      </c>
      <c r="P144" s="21" t="str">
        <f>VLOOKUP(H144,Product_Master!$A:$E,4,FALSE)</f>
        <v>Sony</v>
      </c>
      <c r="Q144" s="5">
        <f>VLOOKUP(H144,Product_Master!$A:$E,5,FALSE)</f>
        <v>0.18</v>
      </c>
      <c r="R144" s="2">
        <f t="shared" si="9"/>
        <v>2500</v>
      </c>
      <c r="S144" s="2">
        <f t="shared" si="10"/>
        <v>450</v>
      </c>
      <c r="T144" s="2">
        <f t="shared" si="11"/>
        <v>2950</v>
      </c>
    </row>
    <row r="145" spans="1:20" x14ac:dyDescent="0.2">
      <c r="A145" s="5" t="s">
        <v>322</v>
      </c>
      <c r="B145" s="3">
        <v>46228</v>
      </c>
      <c r="C145" s="21" t="s">
        <v>323</v>
      </c>
      <c r="D145" s="5" t="str" cm="1">
        <f t="array" ref="D145:F145">_xlfn.TEXTSPLIT(TRIM(C145),"-")</f>
        <v>C144</v>
      </c>
      <c r="E145" s="21" t="str">
        <v>Rahul</v>
      </c>
      <c r="F145" s="21" t="str">
        <v>Kochi</v>
      </c>
      <c r="G145" s="21" t="s">
        <v>88</v>
      </c>
      <c r="H145" s="5" t="str" cm="1">
        <f t="array" ref="H145:I145">_xlfn.TEXTSPLIT(TRIM(G145),"-")</f>
        <v>P108</v>
      </c>
      <c r="I145" s="21" t="str">
        <v>SSD</v>
      </c>
      <c r="J145" s="21" t="s">
        <v>64</v>
      </c>
      <c r="K145" s="4">
        <v>5</v>
      </c>
      <c r="L145" s="31">
        <v>6500</v>
      </c>
      <c r="M145" s="21" t="s">
        <v>27</v>
      </c>
      <c r="N145" s="30" t="s">
        <v>14</v>
      </c>
      <c r="O145" s="21" t="str">
        <f>VLOOKUP(H145,Product_Master!$A:$E,3,FALSE)</f>
        <v>Storage</v>
      </c>
      <c r="P145" s="21" t="str">
        <f>VLOOKUP(H145,Product_Master!$A:$E,4,FALSE)</f>
        <v>Samsung</v>
      </c>
      <c r="Q145" s="5">
        <f>VLOOKUP(H145,Product_Master!$A:$E,5,FALSE)</f>
        <v>0.18</v>
      </c>
      <c r="R145" s="2">
        <f t="shared" si="9"/>
        <v>32500</v>
      </c>
      <c r="S145" s="2">
        <f t="shared" si="10"/>
        <v>5850</v>
      </c>
      <c r="T145" s="2">
        <f t="shared" si="11"/>
        <v>38350</v>
      </c>
    </row>
    <row r="146" spans="1:20" x14ac:dyDescent="0.2">
      <c r="A146" s="5" t="s">
        <v>324</v>
      </c>
      <c r="B146" s="3">
        <v>46228</v>
      </c>
      <c r="C146" s="21" t="s">
        <v>325</v>
      </c>
      <c r="D146" s="5" t="str" cm="1">
        <f t="array" ref="D146:F146">_xlfn.TEXTSPLIT(TRIM(C146),"-")</f>
        <v>C145</v>
      </c>
      <c r="E146" s="21" t="str">
        <v>Nandana</v>
      </c>
      <c r="F146" s="21" t="str">
        <v>Kannur</v>
      </c>
      <c r="G146" s="21" t="s">
        <v>39</v>
      </c>
      <c r="H146" s="5" t="str" cm="1">
        <f t="array" ref="H146:I146">_xlfn.TEXTSPLIT(TRIM(G146),"-")</f>
        <v>P105</v>
      </c>
      <c r="I146" s="21" t="str">
        <v>Headphones</v>
      </c>
      <c r="J146" s="21" t="s">
        <v>22</v>
      </c>
      <c r="K146" s="4">
        <v>11</v>
      </c>
      <c r="L146" s="31">
        <v>2500</v>
      </c>
      <c r="M146" s="21" t="s">
        <v>13</v>
      </c>
      <c r="N146" s="30" t="s">
        <v>19</v>
      </c>
      <c r="O146" s="21" t="str">
        <f>VLOOKUP(H146,Product_Master!$A:$E,3,FALSE)</f>
        <v>Accessories</v>
      </c>
      <c r="P146" s="21" t="str">
        <f>VLOOKUP(H146,Product_Master!$A:$E,4,FALSE)</f>
        <v>Sony</v>
      </c>
      <c r="Q146" s="5">
        <f>VLOOKUP(H146,Product_Master!$A:$E,5,FALSE)</f>
        <v>0.18</v>
      </c>
      <c r="R146" s="2">
        <f t="shared" si="9"/>
        <v>27500</v>
      </c>
      <c r="S146" s="2">
        <f t="shared" si="10"/>
        <v>4950</v>
      </c>
      <c r="T146" s="2">
        <f t="shared" si="11"/>
        <v>32450</v>
      </c>
    </row>
    <row r="147" spans="1:20" x14ac:dyDescent="0.2">
      <c r="A147" s="5" t="s">
        <v>326</v>
      </c>
      <c r="B147" s="3">
        <v>46205</v>
      </c>
      <c r="C147" s="21" t="s">
        <v>327</v>
      </c>
      <c r="D147" s="5" t="str" cm="1">
        <f t="array" ref="D147:F147">_xlfn.TEXTSPLIT(TRIM(C147),"-")</f>
        <v>C146</v>
      </c>
      <c r="E147" s="21" t="str">
        <v>Nandana</v>
      </c>
      <c r="F147" s="21" t="str">
        <v>Kochi</v>
      </c>
      <c r="G147" s="21" t="s">
        <v>39</v>
      </c>
      <c r="H147" s="5" t="str" cm="1">
        <f t="array" ref="H147:I147">_xlfn.TEXTSPLIT(TRIM(G147),"-")</f>
        <v>P105</v>
      </c>
      <c r="I147" s="21" t="str">
        <v>Headphones</v>
      </c>
      <c r="J147" s="21" t="s">
        <v>64</v>
      </c>
      <c r="K147" s="4">
        <v>8</v>
      </c>
      <c r="L147" s="31">
        <v>2500</v>
      </c>
      <c r="M147" s="21" t="s">
        <v>27</v>
      </c>
      <c r="N147" s="30" t="s">
        <v>14</v>
      </c>
      <c r="O147" s="21" t="str">
        <f>VLOOKUP(H147,Product_Master!$A:$E,3,FALSE)</f>
        <v>Accessories</v>
      </c>
      <c r="P147" s="21" t="str">
        <f>VLOOKUP(H147,Product_Master!$A:$E,4,FALSE)</f>
        <v>Sony</v>
      </c>
      <c r="Q147" s="5">
        <f>VLOOKUP(H147,Product_Master!$A:$E,5,FALSE)</f>
        <v>0.18</v>
      </c>
      <c r="R147" s="2">
        <f t="shared" si="9"/>
        <v>20000</v>
      </c>
      <c r="S147" s="2">
        <f t="shared" si="10"/>
        <v>3600</v>
      </c>
      <c r="T147" s="2">
        <f t="shared" si="11"/>
        <v>23600</v>
      </c>
    </row>
    <row r="148" spans="1:20" x14ac:dyDescent="0.2">
      <c r="A148" s="5" t="s">
        <v>328</v>
      </c>
      <c r="B148" s="3">
        <v>46217</v>
      </c>
      <c r="C148" s="21" t="s">
        <v>329</v>
      </c>
      <c r="D148" s="5" t="str" cm="1">
        <f t="array" ref="D148:F148">_xlfn.TEXTSPLIT(TRIM(C148),"-")</f>
        <v>C147</v>
      </c>
      <c r="E148" s="21" t="str">
        <v>Mohammed</v>
      </c>
      <c r="F148" s="21" t="str">
        <v>Kollam</v>
      </c>
      <c r="G148" s="21" t="s">
        <v>31</v>
      </c>
      <c r="H148" s="5" t="str" cm="1">
        <f t="array" ref="H148:I148">_xlfn.TEXTSPLIT(TRIM(G148),"-")</f>
        <v>P106</v>
      </c>
      <c r="I148" s="21" t="str">
        <v>Printer</v>
      </c>
      <c r="J148" s="21" t="s">
        <v>26</v>
      </c>
      <c r="K148" s="4">
        <v>12</v>
      </c>
      <c r="L148" s="31">
        <v>12500</v>
      </c>
      <c r="M148" s="21" t="s">
        <v>13</v>
      </c>
      <c r="N148" s="30" t="s">
        <v>14</v>
      </c>
      <c r="O148" s="21" t="str">
        <f>VLOOKUP(H148,Product_Master!$A:$E,3,FALSE)</f>
        <v>Electronics</v>
      </c>
      <c r="P148" s="21" t="str">
        <f>VLOOKUP(H148,Product_Master!$A:$E,4,FALSE)</f>
        <v>Canon</v>
      </c>
      <c r="Q148" s="5">
        <f>VLOOKUP(H148,Product_Master!$A:$E,5,FALSE)</f>
        <v>0.18</v>
      </c>
      <c r="R148" s="2">
        <f t="shared" si="9"/>
        <v>150000</v>
      </c>
      <c r="S148" s="2">
        <f t="shared" si="10"/>
        <v>27000</v>
      </c>
      <c r="T148" s="2">
        <f t="shared" si="11"/>
        <v>177000</v>
      </c>
    </row>
    <row r="149" spans="1:20" x14ac:dyDescent="0.2">
      <c r="A149" s="5" t="s">
        <v>330</v>
      </c>
      <c r="B149" s="3">
        <v>46212</v>
      </c>
      <c r="C149" s="21" t="s">
        <v>331</v>
      </c>
      <c r="D149" s="5" t="str" cm="1">
        <f t="array" ref="D149:F149">_xlfn.TEXTSPLIT(TRIM(C149),"-")</f>
        <v>C148</v>
      </c>
      <c r="E149" s="21" t="str">
        <v>Ravi</v>
      </c>
      <c r="F149" s="21" t="str">
        <v>Malappuram</v>
      </c>
      <c r="G149" s="21" t="s">
        <v>39</v>
      </c>
      <c r="H149" s="5" t="str" cm="1">
        <f t="array" ref="H149:I149">_xlfn.TEXTSPLIT(TRIM(G149),"-")</f>
        <v>P105</v>
      </c>
      <c r="I149" s="21" t="str">
        <v>Headphones</v>
      </c>
      <c r="J149" s="21" t="s">
        <v>113</v>
      </c>
      <c r="K149" s="4">
        <v>3</v>
      </c>
      <c r="L149" s="31">
        <v>2500</v>
      </c>
      <c r="M149" s="21" t="s">
        <v>27</v>
      </c>
      <c r="N149" s="30" t="s">
        <v>28</v>
      </c>
      <c r="O149" s="21" t="str">
        <f>VLOOKUP(H149,Product_Master!$A:$E,3,FALSE)</f>
        <v>Accessories</v>
      </c>
      <c r="P149" s="21" t="str">
        <f>VLOOKUP(H149,Product_Master!$A:$E,4,FALSE)</f>
        <v>Sony</v>
      </c>
      <c r="Q149" s="5">
        <f>VLOOKUP(H149,Product_Master!$A:$E,5,FALSE)</f>
        <v>0.18</v>
      </c>
      <c r="R149" s="2">
        <f t="shared" si="9"/>
        <v>7500</v>
      </c>
      <c r="S149" s="2">
        <f t="shared" si="10"/>
        <v>1350</v>
      </c>
      <c r="T149" s="2">
        <f t="shared" si="11"/>
        <v>8850</v>
      </c>
    </row>
    <row r="150" spans="1:20" x14ac:dyDescent="0.2">
      <c r="A150" s="5" t="s">
        <v>332</v>
      </c>
      <c r="B150" s="3">
        <v>46228</v>
      </c>
      <c r="C150" s="21" t="s">
        <v>333</v>
      </c>
      <c r="D150" s="5" t="str" cm="1">
        <f t="array" ref="D150:F150">_xlfn.TEXTSPLIT(TRIM(C150),"-")</f>
        <v>C149</v>
      </c>
      <c r="E150" s="21" t="str">
        <v>Priya</v>
      </c>
      <c r="F150" s="21" t="str">
        <v>Alappuzha</v>
      </c>
      <c r="G150" s="21" t="s">
        <v>17</v>
      </c>
      <c r="H150" s="5" t="str" cm="1">
        <f t="array" ref="H150:I150">_xlfn.TEXTSPLIT(TRIM(G150),"-")</f>
        <v>P102</v>
      </c>
      <c r="I150" s="21" t="str">
        <v>Monitor</v>
      </c>
      <c r="J150" s="21" t="s">
        <v>42</v>
      </c>
      <c r="K150" s="4">
        <v>3</v>
      </c>
      <c r="L150" s="31">
        <v>15000</v>
      </c>
      <c r="M150" s="21" t="s">
        <v>23</v>
      </c>
      <c r="N150" s="30" t="s">
        <v>61</v>
      </c>
      <c r="O150" s="21" t="str">
        <f>VLOOKUP(H150,Product_Master!$A:$E,3,FALSE)</f>
        <v>Electronics</v>
      </c>
      <c r="P150" s="21" t="str">
        <f>VLOOKUP(H150,Product_Master!$A:$E,4,FALSE)</f>
        <v>LG</v>
      </c>
      <c r="Q150" s="5">
        <f>VLOOKUP(H150,Product_Master!$A:$E,5,FALSE)</f>
        <v>0.18</v>
      </c>
      <c r="R150" s="2">
        <f t="shared" si="9"/>
        <v>45000</v>
      </c>
      <c r="S150" s="2">
        <f t="shared" si="10"/>
        <v>8100</v>
      </c>
      <c r="T150" s="2">
        <f t="shared" si="11"/>
        <v>53100</v>
      </c>
    </row>
    <row r="151" spans="1:20" x14ac:dyDescent="0.2">
      <c r="A151" s="5" t="s">
        <v>334</v>
      </c>
      <c r="B151" s="3">
        <v>46212</v>
      </c>
      <c r="C151" s="21" t="s">
        <v>335</v>
      </c>
      <c r="D151" s="5" t="str" cm="1">
        <f t="array" ref="D151:F151">_xlfn.TEXTSPLIT(TRIM(C151),"-")</f>
        <v>C150</v>
      </c>
      <c r="E151" s="21" t="str">
        <v>Sneha</v>
      </c>
      <c r="F151" s="21" t="str">
        <v>Trivandrum</v>
      </c>
      <c r="G151" s="21" t="s">
        <v>54</v>
      </c>
      <c r="H151" s="5" t="str" cm="1">
        <f t="array" ref="H151:I151">_xlfn.TEXTSPLIT(TRIM(G151),"-")</f>
        <v>P107</v>
      </c>
      <c r="I151" s="21" t="str">
        <v>Webcam</v>
      </c>
      <c r="J151" s="21" t="s">
        <v>12</v>
      </c>
      <c r="K151" s="4">
        <v>1</v>
      </c>
      <c r="L151" s="31">
        <v>3500</v>
      </c>
      <c r="M151" s="21" t="s">
        <v>18</v>
      </c>
      <c r="N151" s="30" t="s">
        <v>34</v>
      </c>
      <c r="O151" s="21" t="str">
        <f>VLOOKUP(H151,Product_Master!$A:$E,3,FALSE)</f>
        <v>Electronics</v>
      </c>
      <c r="P151" s="21" t="str">
        <f>VLOOKUP(H151,Product_Master!$A:$E,4,FALSE)</f>
        <v>Logitech</v>
      </c>
      <c r="Q151" s="5">
        <f>VLOOKUP(H151,Product_Master!$A:$E,5,FALSE)</f>
        <v>0.18</v>
      </c>
      <c r="R151" s="2">
        <f t="shared" si="9"/>
        <v>3500</v>
      </c>
      <c r="S151" s="2">
        <f t="shared" si="10"/>
        <v>630</v>
      </c>
      <c r="T151" s="2">
        <f t="shared" si="11"/>
        <v>4130</v>
      </c>
    </row>
    <row r="152" spans="1:20" x14ac:dyDescent="0.2">
      <c r="A152" s="5" t="s">
        <v>336</v>
      </c>
      <c r="B152" s="3">
        <v>46234</v>
      </c>
      <c r="C152" s="21" t="s">
        <v>337</v>
      </c>
      <c r="D152" s="5" t="str" cm="1">
        <f t="array" ref="D152:F152">_xlfn.TEXTSPLIT(TRIM(C152),"-")</f>
        <v>C151</v>
      </c>
      <c r="E152" s="21" t="str">
        <v>Sneha</v>
      </c>
      <c r="F152" s="21" t="str">
        <v>Kollam</v>
      </c>
      <c r="G152" s="21" t="s">
        <v>54</v>
      </c>
      <c r="H152" s="5" t="str" cm="1">
        <f t="array" ref="H152:I152">_xlfn.TEXTSPLIT(TRIM(G152),"-")</f>
        <v>P107</v>
      </c>
      <c r="I152" s="21" t="str">
        <v>Webcam</v>
      </c>
      <c r="J152" s="21" t="s">
        <v>26</v>
      </c>
      <c r="K152" s="4">
        <v>11</v>
      </c>
      <c r="L152" s="31">
        <v>3500</v>
      </c>
      <c r="M152" s="21" t="s">
        <v>18</v>
      </c>
      <c r="N152" s="30" t="s">
        <v>14</v>
      </c>
      <c r="O152" s="21" t="str">
        <f>VLOOKUP(H152,Product_Master!$A:$E,3,FALSE)</f>
        <v>Electronics</v>
      </c>
      <c r="P152" s="21" t="str">
        <f>VLOOKUP(H152,Product_Master!$A:$E,4,FALSE)</f>
        <v>Logitech</v>
      </c>
      <c r="Q152" s="5">
        <f>VLOOKUP(H152,Product_Master!$A:$E,5,FALSE)</f>
        <v>0.18</v>
      </c>
      <c r="R152" s="2">
        <f t="shared" si="9"/>
        <v>38500</v>
      </c>
      <c r="S152" s="2">
        <f t="shared" si="10"/>
        <v>6930</v>
      </c>
      <c r="T152" s="2">
        <f t="shared" si="11"/>
        <v>45430</v>
      </c>
    </row>
    <row r="153" spans="1:20" x14ac:dyDescent="0.2">
      <c r="A153" s="5" t="s">
        <v>338</v>
      </c>
      <c r="B153" s="3">
        <v>46211</v>
      </c>
      <c r="C153" s="21" t="s">
        <v>339</v>
      </c>
      <c r="D153" s="5" t="str" cm="1">
        <f t="array" ref="D153:F153">_xlfn.TEXTSPLIT(TRIM(C153),"-")</f>
        <v>C152</v>
      </c>
      <c r="E153" s="21" t="str">
        <v>Kiran</v>
      </c>
      <c r="F153" s="21" t="str">
        <v>Kochi</v>
      </c>
      <c r="G153" s="21" t="s">
        <v>31</v>
      </c>
      <c r="H153" s="5" t="str" cm="1">
        <f t="array" ref="H153:I153">_xlfn.TEXTSPLIT(TRIM(G153),"-")</f>
        <v>P106</v>
      </c>
      <c r="I153" s="21" t="str">
        <v>Printer</v>
      </c>
      <c r="J153" s="21" t="s">
        <v>64</v>
      </c>
      <c r="K153" s="4">
        <v>10</v>
      </c>
      <c r="L153" s="31">
        <v>12500</v>
      </c>
      <c r="M153" s="21" t="s">
        <v>18</v>
      </c>
      <c r="N153" s="30" t="s">
        <v>34</v>
      </c>
      <c r="O153" s="21" t="str">
        <f>VLOOKUP(H153,Product_Master!$A:$E,3,FALSE)</f>
        <v>Electronics</v>
      </c>
      <c r="P153" s="21" t="str">
        <f>VLOOKUP(H153,Product_Master!$A:$E,4,FALSE)</f>
        <v>Canon</v>
      </c>
      <c r="Q153" s="5">
        <f>VLOOKUP(H153,Product_Master!$A:$E,5,FALSE)</f>
        <v>0.18</v>
      </c>
      <c r="R153" s="2">
        <f t="shared" si="9"/>
        <v>125000</v>
      </c>
      <c r="S153" s="2">
        <f t="shared" si="10"/>
        <v>22500</v>
      </c>
      <c r="T153" s="2">
        <f t="shared" si="11"/>
        <v>147500</v>
      </c>
    </row>
    <row r="154" spans="1:20" x14ac:dyDescent="0.2">
      <c r="A154" s="5" t="s">
        <v>340</v>
      </c>
      <c r="B154" s="3">
        <v>46208</v>
      </c>
      <c r="C154" s="21" t="s">
        <v>341</v>
      </c>
      <c r="D154" s="5" t="str" cm="1">
        <f t="array" ref="D154:F154">_xlfn.TEXTSPLIT(TRIM(C154),"-")</f>
        <v>C153</v>
      </c>
      <c r="E154" s="21" t="str">
        <v>Swathi</v>
      </c>
      <c r="F154" s="21" t="str">
        <v>Kollam</v>
      </c>
      <c r="G154" s="21" t="s">
        <v>54</v>
      </c>
      <c r="H154" s="5" t="str" cm="1">
        <f t="array" ref="H154:I154">_xlfn.TEXTSPLIT(TRIM(G154),"-")</f>
        <v>P107</v>
      </c>
      <c r="I154" s="21" t="str">
        <v>Webcam</v>
      </c>
      <c r="J154" s="21" t="s">
        <v>26</v>
      </c>
      <c r="K154" s="4">
        <v>2</v>
      </c>
      <c r="L154" s="31">
        <v>3500</v>
      </c>
      <c r="M154" s="21" t="s">
        <v>18</v>
      </c>
      <c r="N154" s="30" t="s">
        <v>28</v>
      </c>
      <c r="O154" s="21" t="str">
        <f>VLOOKUP(H154,Product_Master!$A:$E,3,FALSE)</f>
        <v>Electronics</v>
      </c>
      <c r="P154" s="21" t="str">
        <f>VLOOKUP(H154,Product_Master!$A:$E,4,FALSE)</f>
        <v>Logitech</v>
      </c>
      <c r="Q154" s="5">
        <f>VLOOKUP(H154,Product_Master!$A:$E,5,FALSE)</f>
        <v>0.18</v>
      </c>
      <c r="R154" s="2">
        <f t="shared" si="9"/>
        <v>7000</v>
      </c>
      <c r="S154" s="2">
        <f t="shared" si="10"/>
        <v>1260</v>
      </c>
      <c r="T154" s="2">
        <f t="shared" si="11"/>
        <v>8260</v>
      </c>
    </row>
    <row r="155" spans="1:20" x14ac:dyDescent="0.2">
      <c r="A155" s="5" t="s">
        <v>342</v>
      </c>
      <c r="B155" s="3">
        <v>46232</v>
      </c>
      <c r="C155" s="21" t="s">
        <v>343</v>
      </c>
      <c r="D155" s="5" t="str" cm="1">
        <f t="array" ref="D155:F155">_xlfn.TEXTSPLIT(TRIM(C155),"-")</f>
        <v>C154</v>
      </c>
      <c r="E155" s="21" t="str">
        <v>Kiran</v>
      </c>
      <c r="F155" s="21" t="str">
        <v>Trivandrum</v>
      </c>
      <c r="G155" s="21" t="s">
        <v>17</v>
      </c>
      <c r="H155" s="5" t="str" cm="1">
        <f t="array" ref="H155:I155">_xlfn.TEXTSPLIT(TRIM(G155),"-")</f>
        <v>P102</v>
      </c>
      <c r="I155" s="21" t="str">
        <v>Monitor</v>
      </c>
      <c r="J155" s="21" t="s">
        <v>12</v>
      </c>
      <c r="K155" s="4">
        <v>4</v>
      </c>
      <c r="L155" s="31">
        <v>15000</v>
      </c>
      <c r="M155" s="21" t="s">
        <v>13</v>
      </c>
      <c r="N155" s="30" t="s">
        <v>34</v>
      </c>
      <c r="O155" s="21" t="str">
        <f>VLOOKUP(H155,Product_Master!$A:$E,3,FALSE)</f>
        <v>Electronics</v>
      </c>
      <c r="P155" s="21" t="str">
        <f>VLOOKUP(H155,Product_Master!$A:$E,4,FALSE)</f>
        <v>LG</v>
      </c>
      <c r="Q155" s="5">
        <f>VLOOKUP(H155,Product_Master!$A:$E,5,FALSE)</f>
        <v>0.18</v>
      </c>
      <c r="R155" s="2">
        <f t="shared" si="9"/>
        <v>60000</v>
      </c>
      <c r="S155" s="2">
        <f t="shared" si="10"/>
        <v>10800</v>
      </c>
      <c r="T155" s="2">
        <f t="shared" si="11"/>
        <v>70800</v>
      </c>
    </row>
    <row r="156" spans="1:20" x14ac:dyDescent="0.2">
      <c r="A156" s="5" t="s">
        <v>344</v>
      </c>
      <c r="B156" s="3">
        <v>46227</v>
      </c>
      <c r="C156" s="21" t="s">
        <v>345</v>
      </c>
      <c r="D156" s="5" t="str" cm="1">
        <f t="array" ref="D156:F156">_xlfn.TEXTSPLIT(TRIM(C156),"-")</f>
        <v>C155</v>
      </c>
      <c r="E156" s="21" t="str">
        <v>Lakshmi</v>
      </c>
      <c r="F156" s="21" t="str">
        <v>Malappuram</v>
      </c>
      <c r="G156" s="21" t="s">
        <v>54</v>
      </c>
      <c r="H156" s="5" t="str" cm="1">
        <f t="array" ref="H156:I156">_xlfn.TEXTSPLIT(TRIM(G156),"-")</f>
        <v>P107</v>
      </c>
      <c r="I156" s="21" t="str">
        <v>Webcam</v>
      </c>
      <c r="J156" s="21" t="s">
        <v>113</v>
      </c>
      <c r="K156" s="4">
        <v>10</v>
      </c>
      <c r="L156" s="31">
        <v>3500</v>
      </c>
      <c r="M156" s="21" t="s">
        <v>13</v>
      </c>
      <c r="N156" s="30" t="s">
        <v>34</v>
      </c>
      <c r="O156" s="21" t="str">
        <f>VLOOKUP(H156,Product_Master!$A:$E,3,FALSE)</f>
        <v>Electronics</v>
      </c>
      <c r="P156" s="21" t="str">
        <f>VLOOKUP(H156,Product_Master!$A:$E,4,FALSE)</f>
        <v>Logitech</v>
      </c>
      <c r="Q156" s="5">
        <f>VLOOKUP(H156,Product_Master!$A:$E,5,FALSE)</f>
        <v>0.18</v>
      </c>
      <c r="R156" s="2">
        <f t="shared" si="9"/>
        <v>35000</v>
      </c>
      <c r="S156" s="2">
        <f t="shared" si="10"/>
        <v>6300</v>
      </c>
      <c r="T156" s="2">
        <f t="shared" si="11"/>
        <v>41300</v>
      </c>
    </row>
    <row r="157" spans="1:20" x14ac:dyDescent="0.2">
      <c r="A157" s="5" t="s">
        <v>346</v>
      </c>
      <c r="B157" s="3">
        <v>46217</v>
      </c>
      <c r="C157" s="21" t="s">
        <v>347</v>
      </c>
      <c r="D157" s="5" t="str" cm="1">
        <f t="array" ref="D157:F157">_xlfn.TEXTSPLIT(TRIM(C157),"-")</f>
        <v>C156</v>
      </c>
      <c r="E157" s="21" t="str">
        <v>Nandana</v>
      </c>
      <c r="F157" s="21" t="str">
        <v>Trivandrum</v>
      </c>
      <c r="G157" s="21" t="s">
        <v>88</v>
      </c>
      <c r="H157" s="5" t="str" cm="1">
        <f t="array" ref="H157:I157">_xlfn.TEXTSPLIT(TRIM(G157),"-")</f>
        <v>P108</v>
      </c>
      <c r="I157" s="21" t="str">
        <v>SSD</v>
      </c>
      <c r="J157" s="21" t="s">
        <v>12</v>
      </c>
      <c r="K157" s="4">
        <v>10</v>
      </c>
      <c r="L157" s="31">
        <v>6500</v>
      </c>
      <c r="M157" s="21" t="s">
        <v>18</v>
      </c>
      <c r="N157" s="30" t="s">
        <v>28</v>
      </c>
      <c r="O157" s="21" t="str">
        <f>VLOOKUP(H157,Product_Master!$A:$E,3,FALSE)</f>
        <v>Storage</v>
      </c>
      <c r="P157" s="21" t="str">
        <f>VLOOKUP(H157,Product_Master!$A:$E,4,FALSE)</f>
        <v>Samsung</v>
      </c>
      <c r="Q157" s="5">
        <f>VLOOKUP(H157,Product_Master!$A:$E,5,FALSE)</f>
        <v>0.18</v>
      </c>
      <c r="R157" s="2">
        <f t="shared" si="9"/>
        <v>65000</v>
      </c>
      <c r="S157" s="2">
        <f t="shared" si="10"/>
        <v>11700</v>
      </c>
      <c r="T157" s="2">
        <f t="shared" si="11"/>
        <v>76700</v>
      </c>
    </row>
    <row r="158" spans="1:20" x14ac:dyDescent="0.2">
      <c r="A158" s="5" t="s">
        <v>348</v>
      </c>
      <c r="B158" s="3">
        <v>46231</v>
      </c>
      <c r="C158" s="21" t="s">
        <v>349</v>
      </c>
      <c r="D158" s="5" t="str" cm="1">
        <f t="array" ref="D158:F158">_xlfn.TEXTSPLIT(TRIM(C158),"-")</f>
        <v>C157</v>
      </c>
      <c r="E158" s="21" t="str">
        <v>Arjun</v>
      </c>
      <c r="F158" s="21" t="str">
        <v>Alappuzha</v>
      </c>
      <c r="G158" s="21" t="s">
        <v>88</v>
      </c>
      <c r="H158" s="5" t="str" cm="1">
        <f t="array" ref="H158:I158">_xlfn.TEXTSPLIT(TRIM(G158),"-")</f>
        <v>P108</v>
      </c>
      <c r="I158" s="21" t="str">
        <v>SSD</v>
      </c>
      <c r="J158" s="21" t="s">
        <v>42</v>
      </c>
      <c r="K158" s="4">
        <v>4</v>
      </c>
      <c r="L158" s="31">
        <v>6500</v>
      </c>
      <c r="M158" s="21" t="s">
        <v>18</v>
      </c>
      <c r="N158" s="30" t="s">
        <v>28</v>
      </c>
      <c r="O158" s="21" t="str">
        <f>VLOOKUP(H158,Product_Master!$A:$E,3,FALSE)</f>
        <v>Storage</v>
      </c>
      <c r="P158" s="21" t="str">
        <f>VLOOKUP(H158,Product_Master!$A:$E,4,FALSE)</f>
        <v>Samsung</v>
      </c>
      <c r="Q158" s="5">
        <f>VLOOKUP(H158,Product_Master!$A:$E,5,FALSE)</f>
        <v>0.18</v>
      </c>
      <c r="R158" s="2">
        <f t="shared" si="9"/>
        <v>26000</v>
      </c>
      <c r="S158" s="2">
        <f t="shared" si="10"/>
        <v>4680</v>
      </c>
      <c r="T158" s="2">
        <f t="shared" si="11"/>
        <v>30680</v>
      </c>
    </row>
    <row r="159" spans="1:20" x14ac:dyDescent="0.2">
      <c r="A159" s="5" t="s">
        <v>350</v>
      </c>
      <c r="B159" s="3">
        <v>46212</v>
      </c>
      <c r="C159" s="21" t="s">
        <v>351</v>
      </c>
      <c r="D159" s="5" t="str" cm="1">
        <f t="array" ref="D159:F159">_xlfn.TEXTSPLIT(TRIM(C159),"-")</f>
        <v>C158</v>
      </c>
      <c r="E159" s="21" t="str">
        <v>Ravi</v>
      </c>
      <c r="F159" s="21" t="str">
        <v>Malappuram</v>
      </c>
      <c r="G159" s="21" t="s">
        <v>11</v>
      </c>
      <c r="H159" s="5" t="str" cm="1">
        <f t="array" ref="H159:I159">_xlfn.TEXTSPLIT(TRIM(G159),"-")</f>
        <v>P101</v>
      </c>
      <c r="I159" s="21" t="str">
        <v>Laptop</v>
      </c>
      <c r="J159" s="21" t="s">
        <v>113</v>
      </c>
      <c r="K159" s="4">
        <v>7</v>
      </c>
      <c r="L159" s="31">
        <v>55000</v>
      </c>
      <c r="M159" s="21" t="s">
        <v>18</v>
      </c>
      <c r="N159" s="30" t="s">
        <v>34</v>
      </c>
      <c r="O159" s="21" t="str">
        <f>VLOOKUP(H159,Product_Master!$A:$E,3,FALSE)</f>
        <v>Electronics</v>
      </c>
      <c r="P159" s="21" t="str">
        <f>VLOOKUP(H159,Product_Master!$A:$E,4,FALSE)</f>
        <v>Dell</v>
      </c>
      <c r="Q159" s="5">
        <f>VLOOKUP(H159,Product_Master!$A:$E,5,FALSE)</f>
        <v>0.18</v>
      </c>
      <c r="R159" s="2">
        <f t="shared" si="9"/>
        <v>385000</v>
      </c>
      <c r="S159" s="2">
        <f t="shared" si="10"/>
        <v>69300</v>
      </c>
      <c r="T159" s="2">
        <f t="shared" si="11"/>
        <v>454300</v>
      </c>
    </row>
    <row r="160" spans="1:20" x14ac:dyDescent="0.2">
      <c r="A160" s="5" t="s">
        <v>352</v>
      </c>
      <c r="B160" s="3">
        <v>46229</v>
      </c>
      <c r="C160" s="21" t="s">
        <v>353</v>
      </c>
      <c r="D160" s="5" t="str" cm="1">
        <f t="array" ref="D160:F160">_xlfn.TEXTSPLIT(TRIM(C160),"-")</f>
        <v>C159</v>
      </c>
      <c r="E160" s="21" t="str">
        <v>Mohammed</v>
      </c>
      <c r="F160" s="21" t="str">
        <v>Kannur</v>
      </c>
      <c r="G160" s="21" t="s">
        <v>354</v>
      </c>
      <c r="H160" s="5" t="str" cm="1">
        <f t="array" ref="H160:I160">_xlfn.TEXTSPLIT(TRIM(G160),"-")</f>
        <v>P101</v>
      </c>
      <c r="I160" s="21" t="str">
        <v>Laptop</v>
      </c>
      <c r="J160" s="21" t="s">
        <v>22</v>
      </c>
      <c r="K160" s="4">
        <v>1</v>
      </c>
      <c r="L160" s="31">
        <v>55000</v>
      </c>
      <c r="M160" s="21" t="s">
        <v>13</v>
      </c>
      <c r="N160" s="30" t="s">
        <v>14</v>
      </c>
      <c r="O160" s="21" t="str">
        <f>VLOOKUP(H160,Product_Master!$A:$E,3,FALSE)</f>
        <v>Electronics</v>
      </c>
      <c r="P160" s="21" t="str">
        <f>VLOOKUP(H160,Product_Master!$A:$E,4,FALSE)</f>
        <v>Dell</v>
      </c>
      <c r="Q160" s="5">
        <f>VLOOKUP(H160,Product_Master!$A:$E,5,FALSE)</f>
        <v>0.18</v>
      </c>
      <c r="R160" s="2">
        <f t="shared" si="9"/>
        <v>55000</v>
      </c>
      <c r="S160" s="2">
        <f t="shared" si="10"/>
        <v>9900</v>
      </c>
      <c r="T160" s="2">
        <f t="shared" si="11"/>
        <v>64900</v>
      </c>
    </row>
    <row r="161" spans="1:20" x14ac:dyDescent="0.2">
      <c r="A161" s="5" t="s">
        <v>355</v>
      </c>
      <c r="B161" s="3">
        <v>46210</v>
      </c>
      <c r="C161" s="21" t="s">
        <v>356</v>
      </c>
      <c r="D161" s="5" t="str" cm="1">
        <f t="array" ref="D161:F161">_xlfn.TEXTSPLIT(TRIM(C161),"-")</f>
        <v>C160</v>
      </c>
      <c r="E161" s="21" t="str">
        <v>Asha</v>
      </c>
      <c r="F161" s="21" t="str">
        <v>Kannur</v>
      </c>
      <c r="G161" s="21" t="s">
        <v>17</v>
      </c>
      <c r="H161" s="5" t="str" cm="1">
        <f t="array" ref="H161:I161">_xlfn.TEXTSPLIT(TRIM(G161),"-")</f>
        <v>P102</v>
      </c>
      <c r="I161" s="21" t="str">
        <v>Monitor</v>
      </c>
      <c r="J161" s="21" t="s">
        <v>22</v>
      </c>
      <c r="K161" s="4">
        <v>9</v>
      </c>
      <c r="L161" s="31">
        <v>15000</v>
      </c>
      <c r="M161" s="21" t="s">
        <v>13</v>
      </c>
      <c r="N161" s="30" t="s">
        <v>14</v>
      </c>
      <c r="O161" s="21" t="str">
        <f>VLOOKUP(H161,Product_Master!$A:$E,3,FALSE)</f>
        <v>Electronics</v>
      </c>
      <c r="P161" s="21" t="str">
        <f>VLOOKUP(H161,Product_Master!$A:$E,4,FALSE)</f>
        <v>LG</v>
      </c>
      <c r="Q161" s="5">
        <f>VLOOKUP(H161,Product_Master!$A:$E,5,FALSE)</f>
        <v>0.18</v>
      </c>
      <c r="R161" s="2">
        <f t="shared" si="9"/>
        <v>135000</v>
      </c>
      <c r="S161" s="2">
        <f t="shared" si="10"/>
        <v>24300</v>
      </c>
      <c r="T161" s="2">
        <f t="shared" si="11"/>
        <v>159300</v>
      </c>
    </row>
    <row r="162" spans="1:20" x14ac:dyDescent="0.2">
      <c r="A162" s="5" t="s">
        <v>357</v>
      </c>
      <c r="B162" s="3">
        <v>46231</v>
      </c>
      <c r="C162" s="21" t="s">
        <v>358</v>
      </c>
      <c r="D162" s="5" t="str" cm="1">
        <f t="array" ref="D162:F162">_xlfn.TEXTSPLIT(TRIM(C162),"-")</f>
        <v>C161</v>
      </c>
      <c r="E162" s="21" t="str">
        <v>Nikhil</v>
      </c>
      <c r="F162" s="21" t="str">
        <v>Kozhikode</v>
      </c>
      <c r="G162" s="21" t="s">
        <v>11</v>
      </c>
      <c r="H162" s="5" t="str" cm="1">
        <f t="array" ref="H162:I162">_xlfn.TEXTSPLIT(TRIM(G162),"-")</f>
        <v>P101</v>
      </c>
      <c r="I162" s="21" t="str">
        <v>Laptop</v>
      </c>
      <c r="J162" s="21" t="s">
        <v>71</v>
      </c>
      <c r="K162" s="4">
        <v>5</v>
      </c>
      <c r="L162" s="31">
        <v>55000</v>
      </c>
      <c r="M162" s="21" t="s">
        <v>13</v>
      </c>
      <c r="N162" s="30" t="s">
        <v>61</v>
      </c>
      <c r="O162" s="21" t="str">
        <f>VLOOKUP(H162,Product_Master!$A:$E,3,FALSE)</f>
        <v>Electronics</v>
      </c>
      <c r="P162" s="21" t="str">
        <f>VLOOKUP(H162,Product_Master!$A:$E,4,FALSE)</f>
        <v>Dell</v>
      </c>
      <c r="Q162" s="5">
        <f>VLOOKUP(H162,Product_Master!$A:$E,5,FALSE)</f>
        <v>0.18</v>
      </c>
      <c r="R162" s="2">
        <f t="shared" si="9"/>
        <v>275000</v>
      </c>
      <c r="S162" s="2">
        <f t="shared" si="10"/>
        <v>49500</v>
      </c>
      <c r="T162" s="2">
        <f t="shared" si="11"/>
        <v>324500</v>
      </c>
    </row>
    <row r="163" spans="1:20" x14ac:dyDescent="0.2">
      <c r="A163" s="5" t="s">
        <v>359</v>
      </c>
      <c r="B163" s="3">
        <v>46231</v>
      </c>
      <c r="C163" s="21" t="s">
        <v>360</v>
      </c>
      <c r="D163" s="5" t="str" cm="1">
        <f t="array" ref="D163:F163">_xlfn.TEXTSPLIT(TRIM(C163),"-")</f>
        <v>C162</v>
      </c>
      <c r="E163" s="21" t="str">
        <v>Sanjay</v>
      </c>
      <c r="F163" s="21" t="str">
        <v>Kozhikode</v>
      </c>
      <c r="G163" s="21" t="s">
        <v>17</v>
      </c>
      <c r="H163" s="5" t="str" cm="1">
        <f t="array" ref="H163:I163">_xlfn.TEXTSPLIT(TRIM(G163),"-")</f>
        <v>P102</v>
      </c>
      <c r="I163" s="21" t="str">
        <v>Monitor</v>
      </c>
      <c r="J163" s="21" t="s">
        <v>71</v>
      </c>
      <c r="K163" s="4">
        <v>11</v>
      </c>
      <c r="L163" s="31">
        <v>15000</v>
      </c>
      <c r="M163" s="21" t="s">
        <v>13</v>
      </c>
      <c r="N163" s="30" t="s">
        <v>19</v>
      </c>
      <c r="O163" s="21" t="str">
        <f>VLOOKUP(H163,Product_Master!$A:$E,3,FALSE)</f>
        <v>Electronics</v>
      </c>
      <c r="P163" s="21" t="str">
        <f>VLOOKUP(H163,Product_Master!$A:$E,4,FALSE)</f>
        <v>LG</v>
      </c>
      <c r="Q163" s="5">
        <f>VLOOKUP(H163,Product_Master!$A:$E,5,FALSE)</f>
        <v>0.18</v>
      </c>
      <c r="R163" s="2">
        <f t="shared" si="9"/>
        <v>165000</v>
      </c>
      <c r="S163" s="2">
        <f t="shared" si="10"/>
        <v>29700</v>
      </c>
      <c r="T163" s="2">
        <f t="shared" si="11"/>
        <v>194700</v>
      </c>
    </row>
    <row r="164" spans="1:20" x14ac:dyDescent="0.2">
      <c r="A164" s="5" t="s">
        <v>361</v>
      </c>
      <c r="B164" s="3">
        <v>46209</v>
      </c>
      <c r="C164" s="21" t="s">
        <v>362</v>
      </c>
      <c r="D164" s="5" t="str" cm="1">
        <f t="array" ref="D164:F164">_xlfn.TEXTSPLIT(TRIM(C164),"-")</f>
        <v>C163</v>
      </c>
      <c r="E164" s="21" t="str">
        <v>Sneha</v>
      </c>
      <c r="F164" s="21" t="str">
        <v>Kannur</v>
      </c>
      <c r="G164" s="21" t="s">
        <v>31</v>
      </c>
      <c r="H164" s="5" t="str" cm="1">
        <f t="array" ref="H164:I164">_xlfn.TEXTSPLIT(TRIM(G164),"-")</f>
        <v>P106</v>
      </c>
      <c r="I164" s="21" t="str">
        <v>Printer</v>
      </c>
      <c r="J164" s="21" t="s">
        <v>22</v>
      </c>
      <c r="K164" s="4">
        <v>1</v>
      </c>
      <c r="L164" s="31">
        <v>12500</v>
      </c>
      <c r="M164" s="21" t="s">
        <v>18</v>
      </c>
      <c r="N164" s="30" t="s">
        <v>14</v>
      </c>
      <c r="O164" s="21" t="str">
        <f>VLOOKUP(H164,Product_Master!$A:$E,3,FALSE)</f>
        <v>Electronics</v>
      </c>
      <c r="P164" s="21" t="str">
        <f>VLOOKUP(H164,Product_Master!$A:$E,4,FALSE)</f>
        <v>Canon</v>
      </c>
      <c r="Q164" s="5">
        <f>VLOOKUP(H164,Product_Master!$A:$E,5,FALSE)</f>
        <v>0.18</v>
      </c>
      <c r="R164" s="2">
        <f t="shared" si="9"/>
        <v>12500</v>
      </c>
      <c r="S164" s="2">
        <f t="shared" si="10"/>
        <v>2250</v>
      </c>
      <c r="T164" s="2">
        <f t="shared" si="11"/>
        <v>14750</v>
      </c>
    </row>
    <row r="165" spans="1:20" x14ac:dyDescent="0.2">
      <c r="A165" s="5" t="s">
        <v>363</v>
      </c>
      <c r="B165" s="3">
        <v>46206</v>
      </c>
      <c r="C165" s="21" t="s">
        <v>364</v>
      </c>
      <c r="D165" s="5" t="str" cm="1">
        <f t="array" ref="D165:F165">_xlfn.TEXTSPLIT(TRIM(C165),"-")</f>
        <v>C164</v>
      </c>
      <c r="E165" s="21" t="str">
        <v>Joel</v>
      </c>
      <c r="F165" s="21" t="str">
        <v>Thrissur</v>
      </c>
      <c r="G165" s="21" t="s">
        <v>17</v>
      </c>
      <c r="H165" s="5" t="str" cm="1">
        <f t="array" ref="H165:I165">_xlfn.TEXTSPLIT(TRIM(G165),"-")</f>
        <v>P102</v>
      </c>
      <c r="I165" s="21" t="str">
        <v>Monitor</v>
      </c>
      <c r="J165" s="21" t="s">
        <v>51</v>
      </c>
      <c r="K165" s="4">
        <v>12</v>
      </c>
      <c r="L165" s="31">
        <v>15000</v>
      </c>
      <c r="M165" s="21" t="s">
        <v>23</v>
      </c>
      <c r="N165" s="30" t="s">
        <v>28</v>
      </c>
      <c r="O165" s="21" t="str">
        <f>VLOOKUP(H165,Product_Master!$A:$E,3,FALSE)</f>
        <v>Electronics</v>
      </c>
      <c r="P165" s="21" t="str">
        <f>VLOOKUP(H165,Product_Master!$A:$E,4,FALSE)</f>
        <v>LG</v>
      </c>
      <c r="Q165" s="5">
        <f>VLOOKUP(H165,Product_Master!$A:$E,5,FALSE)</f>
        <v>0.18</v>
      </c>
      <c r="R165" s="2">
        <f t="shared" si="9"/>
        <v>180000</v>
      </c>
      <c r="S165" s="2">
        <f t="shared" si="10"/>
        <v>32400</v>
      </c>
      <c r="T165" s="2">
        <f t="shared" si="11"/>
        <v>212400</v>
      </c>
    </row>
    <row r="166" spans="1:20" x14ac:dyDescent="0.2">
      <c r="A166" s="5" t="s">
        <v>365</v>
      </c>
      <c r="B166" s="3">
        <v>46211</v>
      </c>
      <c r="C166" s="21" t="s">
        <v>366</v>
      </c>
      <c r="D166" s="5" t="str" cm="1">
        <f t="array" ref="D166:F166">_xlfn.TEXTSPLIT(TRIM(C166),"-")</f>
        <v>C165</v>
      </c>
      <c r="E166" s="21" t="str">
        <v>Meera</v>
      </c>
      <c r="F166" s="21" t="str">
        <v>Trivandrum</v>
      </c>
      <c r="G166" s="21" t="s">
        <v>88</v>
      </c>
      <c r="H166" s="5" t="str" cm="1">
        <f t="array" ref="H166:I166">_xlfn.TEXTSPLIT(TRIM(G166),"-")</f>
        <v>P108</v>
      </c>
      <c r="I166" s="21" t="str">
        <v>SSD</v>
      </c>
      <c r="J166" s="21" t="s">
        <v>12</v>
      </c>
      <c r="K166" s="4">
        <v>9</v>
      </c>
      <c r="L166" s="31">
        <v>6500</v>
      </c>
      <c r="M166" s="21" t="s">
        <v>18</v>
      </c>
      <c r="N166" s="30" t="s">
        <v>61</v>
      </c>
      <c r="O166" s="21" t="str">
        <f>VLOOKUP(H166,Product_Master!$A:$E,3,FALSE)</f>
        <v>Storage</v>
      </c>
      <c r="P166" s="21" t="str">
        <f>VLOOKUP(H166,Product_Master!$A:$E,4,FALSE)</f>
        <v>Samsung</v>
      </c>
      <c r="Q166" s="5">
        <f>VLOOKUP(H166,Product_Master!$A:$E,5,FALSE)</f>
        <v>0.18</v>
      </c>
      <c r="R166" s="2">
        <f t="shared" si="9"/>
        <v>58500</v>
      </c>
      <c r="S166" s="2">
        <f t="shared" si="10"/>
        <v>10530</v>
      </c>
      <c r="T166" s="2">
        <f t="shared" si="11"/>
        <v>69030</v>
      </c>
    </row>
    <row r="167" spans="1:20" x14ac:dyDescent="0.2">
      <c r="A167" s="5" t="s">
        <v>367</v>
      </c>
      <c r="B167" s="3">
        <v>46219</v>
      </c>
      <c r="C167" s="21" t="s">
        <v>368</v>
      </c>
      <c r="D167" s="5" t="str" cm="1">
        <f t="array" ref="D167:F167">_xlfn.TEXTSPLIT(TRIM(C167),"-")</f>
        <v>C166</v>
      </c>
      <c r="E167" s="21" t="str">
        <v>Fathima</v>
      </c>
      <c r="F167" s="21" t="str">
        <v>Alappuzha</v>
      </c>
      <c r="G167" s="21" t="s">
        <v>11</v>
      </c>
      <c r="H167" s="5" t="str" cm="1">
        <f t="array" ref="H167:I167">_xlfn.TEXTSPLIT(TRIM(G167),"-")</f>
        <v>P101</v>
      </c>
      <c r="I167" s="21" t="str">
        <v>Laptop</v>
      </c>
      <c r="J167" s="21" t="s">
        <v>42</v>
      </c>
      <c r="K167" s="4">
        <v>1</v>
      </c>
      <c r="L167" s="31">
        <v>55000</v>
      </c>
      <c r="M167" s="21" t="s">
        <v>23</v>
      </c>
      <c r="N167" s="30" t="s">
        <v>19</v>
      </c>
      <c r="O167" s="21" t="str">
        <f>VLOOKUP(H167,Product_Master!$A:$E,3,FALSE)</f>
        <v>Electronics</v>
      </c>
      <c r="P167" s="21" t="str">
        <f>VLOOKUP(H167,Product_Master!$A:$E,4,FALSE)</f>
        <v>Dell</v>
      </c>
      <c r="Q167" s="5">
        <f>VLOOKUP(H167,Product_Master!$A:$E,5,FALSE)</f>
        <v>0.18</v>
      </c>
      <c r="R167" s="2">
        <f t="shared" si="9"/>
        <v>55000</v>
      </c>
      <c r="S167" s="2">
        <f t="shared" si="10"/>
        <v>9900</v>
      </c>
      <c r="T167" s="2">
        <f t="shared" si="11"/>
        <v>64900</v>
      </c>
    </row>
    <row r="168" spans="1:20" x14ac:dyDescent="0.2">
      <c r="A168" s="5" t="s">
        <v>369</v>
      </c>
      <c r="B168" s="3">
        <v>46214</v>
      </c>
      <c r="C168" s="21" t="s">
        <v>370</v>
      </c>
      <c r="D168" s="5" t="str" cm="1">
        <f t="array" ref="D168:F168">_xlfn.TEXTSPLIT(TRIM(C168),"-")</f>
        <v>C167</v>
      </c>
      <c r="E168" s="21" t="str">
        <v>Kiran</v>
      </c>
      <c r="F168" s="21" t="str">
        <v>Alappuzha</v>
      </c>
      <c r="G168" s="21" t="s">
        <v>17</v>
      </c>
      <c r="H168" s="5" t="str" cm="1">
        <f t="array" ref="H168:I168">_xlfn.TEXTSPLIT(TRIM(G168),"-")</f>
        <v>P102</v>
      </c>
      <c r="I168" s="21" t="str">
        <v>Monitor</v>
      </c>
      <c r="J168" s="21" t="s">
        <v>42</v>
      </c>
      <c r="K168" s="4">
        <v>2</v>
      </c>
      <c r="L168" s="31">
        <v>15000</v>
      </c>
      <c r="M168" s="21" t="s">
        <v>13</v>
      </c>
      <c r="N168" s="30" t="s">
        <v>19</v>
      </c>
      <c r="O168" s="21" t="str">
        <f>VLOOKUP(H168,Product_Master!$A:$E,3,FALSE)</f>
        <v>Electronics</v>
      </c>
      <c r="P168" s="21" t="str">
        <f>VLOOKUP(H168,Product_Master!$A:$E,4,FALSE)</f>
        <v>LG</v>
      </c>
      <c r="Q168" s="5">
        <f>VLOOKUP(H168,Product_Master!$A:$E,5,FALSE)</f>
        <v>0.18</v>
      </c>
      <c r="R168" s="2">
        <f t="shared" si="9"/>
        <v>30000</v>
      </c>
      <c r="S168" s="2">
        <f t="shared" si="10"/>
        <v>5400</v>
      </c>
      <c r="T168" s="2">
        <f t="shared" si="11"/>
        <v>35400</v>
      </c>
    </row>
    <row r="169" spans="1:20" x14ac:dyDescent="0.2">
      <c r="A169" s="5" t="s">
        <v>371</v>
      </c>
      <c r="B169" s="3">
        <v>46223</v>
      </c>
      <c r="C169" s="21" t="s">
        <v>372</v>
      </c>
      <c r="D169" s="5" t="str" cm="1">
        <f t="array" ref="D169:F169">_xlfn.TEXTSPLIT(TRIM(C169),"-")</f>
        <v>C168</v>
      </c>
      <c r="E169" s="21" t="str">
        <v>Akhil</v>
      </c>
      <c r="F169" s="21" t="str">
        <v>Kollam</v>
      </c>
      <c r="G169" s="21" t="s">
        <v>31</v>
      </c>
      <c r="H169" s="5" t="str" cm="1">
        <f t="array" ref="H169:I169">_xlfn.TEXTSPLIT(TRIM(G169),"-")</f>
        <v>P106</v>
      </c>
      <c r="I169" s="21" t="str">
        <v>Printer</v>
      </c>
      <c r="J169" s="21" t="s">
        <v>26</v>
      </c>
      <c r="K169" s="4">
        <v>7</v>
      </c>
      <c r="L169" s="31">
        <v>12500</v>
      </c>
      <c r="M169" s="21" t="s">
        <v>27</v>
      </c>
      <c r="N169" s="30" t="s">
        <v>34</v>
      </c>
      <c r="O169" s="21" t="str">
        <f>VLOOKUP(H169,Product_Master!$A:$E,3,FALSE)</f>
        <v>Electronics</v>
      </c>
      <c r="P169" s="21" t="str">
        <f>VLOOKUP(H169,Product_Master!$A:$E,4,FALSE)</f>
        <v>Canon</v>
      </c>
      <c r="Q169" s="5">
        <f>VLOOKUP(H169,Product_Master!$A:$E,5,FALSE)</f>
        <v>0.18</v>
      </c>
      <c r="R169" s="2">
        <f t="shared" si="9"/>
        <v>87500</v>
      </c>
      <c r="S169" s="2">
        <f t="shared" si="10"/>
        <v>15750</v>
      </c>
      <c r="T169" s="2">
        <f t="shared" si="11"/>
        <v>103250</v>
      </c>
    </row>
    <row r="170" spans="1:20" x14ac:dyDescent="0.2">
      <c r="A170" s="5" t="s">
        <v>373</v>
      </c>
      <c r="B170" s="3">
        <v>46207</v>
      </c>
      <c r="C170" s="21" t="s">
        <v>374</v>
      </c>
      <c r="D170" s="5" t="str" cm="1">
        <f t="array" ref="D170:F170">_xlfn.TEXTSPLIT(TRIM(C170),"-")</f>
        <v>C169</v>
      </c>
      <c r="E170" s="21" t="str">
        <v>Meera</v>
      </c>
      <c r="F170" s="21" t="str">
        <v>Thrissur</v>
      </c>
      <c r="G170" s="21" t="s">
        <v>17</v>
      </c>
      <c r="H170" s="5" t="str" cm="1">
        <f t="array" ref="H170:I170">_xlfn.TEXTSPLIT(TRIM(G170),"-")</f>
        <v>P102</v>
      </c>
      <c r="I170" s="21" t="str">
        <v>Monitor</v>
      </c>
      <c r="J170" s="21" t="s">
        <v>51</v>
      </c>
      <c r="K170" s="4">
        <v>12</v>
      </c>
      <c r="L170" s="31">
        <v>15000</v>
      </c>
      <c r="M170" s="21" t="s">
        <v>13</v>
      </c>
      <c r="N170" s="30" t="s">
        <v>34</v>
      </c>
      <c r="O170" s="21" t="str">
        <f>VLOOKUP(H170,Product_Master!$A:$E,3,FALSE)</f>
        <v>Electronics</v>
      </c>
      <c r="P170" s="21" t="str">
        <f>VLOOKUP(H170,Product_Master!$A:$E,4,FALSE)</f>
        <v>LG</v>
      </c>
      <c r="Q170" s="5">
        <f>VLOOKUP(H170,Product_Master!$A:$E,5,FALSE)</f>
        <v>0.18</v>
      </c>
      <c r="R170" s="2">
        <f t="shared" si="9"/>
        <v>180000</v>
      </c>
      <c r="S170" s="2">
        <f t="shared" si="10"/>
        <v>32400</v>
      </c>
      <c r="T170" s="2">
        <f t="shared" si="11"/>
        <v>212400</v>
      </c>
    </row>
    <row r="171" spans="1:20" x14ac:dyDescent="0.2">
      <c r="A171" s="5" t="s">
        <v>375</v>
      </c>
      <c r="B171" s="3">
        <v>46230</v>
      </c>
      <c r="C171" s="21" t="s">
        <v>376</v>
      </c>
      <c r="D171" s="5" t="str" cm="1">
        <f t="array" ref="D171:F171">_xlfn.TEXTSPLIT(TRIM(C171),"-")</f>
        <v>C170</v>
      </c>
      <c r="E171" s="21" t="str">
        <v>Lakshmi</v>
      </c>
      <c r="F171" s="21" t="str">
        <v>Kannur</v>
      </c>
      <c r="G171" s="21" t="s">
        <v>54</v>
      </c>
      <c r="H171" s="5" t="str" cm="1">
        <f t="array" ref="H171:I171">_xlfn.TEXTSPLIT(TRIM(G171),"-")</f>
        <v>P107</v>
      </c>
      <c r="I171" s="21" t="str">
        <v>Webcam</v>
      </c>
      <c r="J171" s="21" t="s">
        <v>22</v>
      </c>
      <c r="K171" s="4">
        <v>6</v>
      </c>
      <c r="L171" s="31">
        <v>3500</v>
      </c>
      <c r="M171" s="21" t="s">
        <v>23</v>
      </c>
      <c r="N171" s="30" t="s">
        <v>34</v>
      </c>
      <c r="O171" s="21" t="str">
        <f>VLOOKUP(H171,Product_Master!$A:$E,3,FALSE)</f>
        <v>Electronics</v>
      </c>
      <c r="P171" s="21" t="str">
        <f>VLOOKUP(H171,Product_Master!$A:$E,4,FALSE)</f>
        <v>Logitech</v>
      </c>
      <c r="Q171" s="5">
        <f>VLOOKUP(H171,Product_Master!$A:$E,5,FALSE)</f>
        <v>0.18</v>
      </c>
      <c r="R171" s="2">
        <f t="shared" si="9"/>
        <v>21000</v>
      </c>
      <c r="S171" s="2">
        <f t="shared" si="10"/>
        <v>3780</v>
      </c>
      <c r="T171" s="2">
        <f t="shared" si="11"/>
        <v>24780</v>
      </c>
    </row>
    <row r="172" spans="1:20" x14ac:dyDescent="0.2">
      <c r="A172" s="5" t="s">
        <v>377</v>
      </c>
      <c r="B172" s="3">
        <v>46214</v>
      </c>
      <c r="C172" s="21" t="s">
        <v>378</v>
      </c>
      <c r="D172" s="5" t="str" cm="1">
        <f t="array" ref="D172:F172">_xlfn.TEXTSPLIT(TRIM(C172),"-")</f>
        <v>C171</v>
      </c>
      <c r="E172" s="21" t="str">
        <v>Joel</v>
      </c>
      <c r="F172" s="21" t="str">
        <v>Trivandrum</v>
      </c>
      <c r="G172" s="21" t="s">
        <v>31</v>
      </c>
      <c r="H172" s="5" t="str" cm="1">
        <f t="array" ref="H172:I172">_xlfn.TEXTSPLIT(TRIM(G172),"-")</f>
        <v>P106</v>
      </c>
      <c r="I172" s="21" t="str">
        <v>Printer</v>
      </c>
      <c r="J172" s="21" t="s">
        <v>12</v>
      </c>
      <c r="K172" s="4">
        <v>7</v>
      </c>
      <c r="L172" s="31">
        <v>12500</v>
      </c>
      <c r="M172" s="21" t="s">
        <v>27</v>
      </c>
      <c r="N172" s="30" t="s">
        <v>28</v>
      </c>
      <c r="O172" s="21" t="str">
        <f>VLOOKUP(H172,Product_Master!$A:$E,3,FALSE)</f>
        <v>Electronics</v>
      </c>
      <c r="P172" s="21" t="str">
        <f>VLOOKUP(H172,Product_Master!$A:$E,4,FALSE)</f>
        <v>Canon</v>
      </c>
      <c r="Q172" s="5">
        <f>VLOOKUP(H172,Product_Master!$A:$E,5,FALSE)</f>
        <v>0.18</v>
      </c>
      <c r="R172" s="2">
        <f t="shared" si="9"/>
        <v>87500</v>
      </c>
      <c r="S172" s="2">
        <f t="shared" si="10"/>
        <v>15750</v>
      </c>
      <c r="T172" s="2">
        <f t="shared" si="11"/>
        <v>103250</v>
      </c>
    </row>
    <row r="173" spans="1:20" x14ac:dyDescent="0.2">
      <c r="A173" s="5" t="s">
        <v>379</v>
      </c>
      <c r="B173" s="3">
        <v>46230</v>
      </c>
      <c r="C173" s="21" t="s">
        <v>380</v>
      </c>
      <c r="D173" s="5" t="str" cm="1">
        <f t="array" ref="D173:F173">_xlfn.TEXTSPLIT(TRIM(C173),"-")</f>
        <v>C172</v>
      </c>
      <c r="E173" s="21" t="str">
        <v>Akhil</v>
      </c>
      <c r="F173" s="21" t="str">
        <v>Alappuzha</v>
      </c>
      <c r="G173" s="21" t="s">
        <v>17</v>
      </c>
      <c r="H173" s="5" t="str" cm="1">
        <f t="array" ref="H173:I173">_xlfn.TEXTSPLIT(TRIM(G173),"-")</f>
        <v>P102</v>
      </c>
      <c r="I173" s="21" t="str">
        <v>Monitor</v>
      </c>
      <c r="J173" s="21" t="s">
        <v>42</v>
      </c>
      <c r="K173" s="4">
        <v>2</v>
      </c>
      <c r="L173" s="31">
        <v>15000</v>
      </c>
      <c r="M173" s="21" t="s">
        <v>18</v>
      </c>
      <c r="N173" s="30" t="s">
        <v>34</v>
      </c>
      <c r="O173" s="21" t="str">
        <f>VLOOKUP(H173,Product_Master!$A:$E,3,FALSE)</f>
        <v>Electronics</v>
      </c>
      <c r="P173" s="21" t="str">
        <f>VLOOKUP(H173,Product_Master!$A:$E,4,FALSE)</f>
        <v>LG</v>
      </c>
      <c r="Q173" s="5">
        <f>VLOOKUP(H173,Product_Master!$A:$E,5,FALSE)</f>
        <v>0.18</v>
      </c>
      <c r="R173" s="2">
        <f t="shared" si="9"/>
        <v>30000</v>
      </c>
      <c r="S173" s="2">
        <f t="shared" si="10"/>
        <v>5400</v>
      </c>
      <c r="T173" s="2">
        <f t="shared" si="11"/>
        <v>35400</v>
      </c>
    </row>
    <row r="174" spans="1:20" x14ac:dyDescent="0.2">
      <c r="A174" s="5" t="s">
        <v>381</v>
      </c>
      <c r="B174" s="3">
        <v>46205</v>
      </c>
      <c r="C174" s="21" t="s">
        <v>382</v>
      </c>
      <c r="D174" s="5" t="str" cm="1">
        <f t="array" ref="D174:F174">_xlfn.TEXTSPLIT(TRIM(C174),"-")</f>
        <v>C173</v>
      </c>
      <c r="E174" s="21" t="str">
        <v>Priya</v>
      </c>
      <c r="F174" s="21" t="str">
        <v>Malappuram</v>
      </c>
      <c r="G174" s="21" t="s">
        <v>45</v>
      </c>
      <c r="H174" s="5" t="str" cm="1">
        <f t="array" ref="H174:I174">_xlfn.TEXTSPLIT(TRIM(G174),"-")</f>
        <v>P103</v>
      </c>
      <c r="I174" s="21" t="str">
        <v>Keyboard</v>
      </c>
      <c r="J174" s="21" t="s">
        <v>113</v>
      </c>
      <c r="K174" s="4">
        <v>9</v>
      </c>
      <c r="L174" s="31">
        <v>1200</v>
      </c>
      <c r="M174" s="21" t="s">
        <v>27</v>
      </c>
      <c r="N174" s="30" t="s">
        <v>19</v>
      </c>
      <c r="O174" s="21" t="str">
        <f>VLOOKUP(H174,Product_Master!$A:$E,3,FALSE)</f>
        <v>Accessories</v>
      </c>
      <c r="P174" s="21" t="str">
        <f>VLOOKUP(H174,Product_Master!$A:$E,4,FALSE)</f>
        <v>Logitech</v>
      </c>
      <c r="Q174" s="5">
        <f>VLOOKUP(H174,Product_Master!$A:$E,5,FALSE)</f>
        <v>0.18</v>
      </c>
      <c r="R174" s="2">
        <f t="shared" si="9"/>
        <v>10800</v>
      </c>
      <c r="S174" s="2">
        <f t="shared" si="10"/>
        <v>1944</v>
      </c>
      <c r="T174" s="2">
        <f t="shared" si="11"/>
        <v>12744</v>
      </c>
    </row>
    <row r="175" spans="1:20" x14ac:dyDescent="0.2">
      <c r="A175" s="5" t="s">
        <v>383</v>
      </c>
      <c r="B175" s="3">
        <v>46205</v>
      </c>
      <c r="C175" s="21" t="s">
        <v>384</v>
      </c>
      <c r="D175" s="5" t="str" cm="1">
        <f t="array" ref="D175:F175">_xlfn.TEXTSPLIT(TRIM(C175),"-")</f>
        <v>C174</v>
      </c>
      <c r="E175" s="21" t="str">
        <v>Amal</v>
      </c>
      <c r="F175" s="21" t="str">
        <v>Malappuram</v>
      </c>
      <c r="G175" s="21" t="s">
        <v>54</v>
      </c>
      <c r="H175" s="5" t="str" cm="1">
        <f t="array" ref="H175:I175">_xlfn.TEXTSPLIT(TRIM(G175),"-")</f>
        <v>P107</v>
      </c>
      <c r="I175" s="21" t="str">
        <v>Webcam</v>
      </c>
      <c r="J175" s="21" t="s">
        <v>113</v>
      </c>
      <c r="K175" s="4">
        <v>12</v>
      </c>
      <c r="L175" s="31">
        <v>3500</v>
      </c>
      <c r="M175" s="21" t="s">
        <v>27</v>
      </c>
      <c r="N175" s="30" t="s">
        <v>28</v>
      </c>
      <c r="O175" s="21" t="str">
        <f>VLOOKUP(H175,Product_Master!$A:$E,3,FALSE)</f>
        <v>Electronics</v>
      </c>
      <c r="P175" s="21" t="str">
        <f>VLOOKUP(H175,Product_Master!$A:$E,4,FALSE)</f>
        <v>Logitech</v>
      </c>
      <c r="Q175" s="5">
        <f>VLOOKUP(H175,Product_Master!$A:$E,5,FALSE)</f>
        <v>0.18</v>
      </c>
      <c r="R175" s="2">
        <f t="shared" si="9"/>
        <v>42000</v>
      </c>
      <c r="S175" s="2">
        <f t="shared" si="10"/>
        <v>7560</v>
      </c>
      <c r="T175" s="2">
        <f t="shared" si="11"/>
        <v>49560</v>
      </c>
    </row>
    <row r="176" spans="1:20" x14ac:dyDescent="0.2">
      <c r="A176" s="5" t="s">
        <v>385</v>
      </c>
      <c r="B176" s="3">
        <v>46219</v>
      </c>
      <c r="C176" s="21" t="s">
        <v>386</v>
      </c>
      <c r="D176" s="5" t="str" cm="1">
        <f t="array" ref="D176:F176">_xlfn.TEXTSPLIT(TRIM(C176),"-")</f>
        <v>C175</v>
      </c>
      <c r="E176" s="21" t="str">
        <v>Priya</v>
      </c>
      <c r="F176" s="21" t="str">
        <v>Kannur</v>
      </c>
      <c r="G176" s="21" t="s">
        <v>45</v>
      </c>
      <c r="H176" s="5" t="str" cm="1">
        <f t="array" ref="H176:I176">_xlfn.TEXTSPLIT(TRIM(G176),"-")</f>
        <v>P103</v>
      </c>
      <c r="I176" s="21" t="str">
        <v>Keyboard</v>
      </c>
      <c r="J176" s="21" t="s">
        <v>22</v>
      </c>
      <c r="K176" s="4">
        <v>11</v>
      </c>
      <c r="L176" s="31">
        <v>1200</v>
      </c>
      <c r="M176" s="21" t="s">
        <v>18</v>
      </c>
      <c r="N176" s="30" t="s">
        <v>28</v>
      </c>
      <c r="O176" s="21" t="str">
        <f>VLOOKUP(H176,Product_Master!$A:$E,3,FALSE)</f>
        <v>Accessories</v>
      </c>
      <c r="P176" s="21" t="str">
        <f>VLOOKUP(H176,Product_Master!$A:$E,4,FALSE)</f>
        <v>Logitech</v>
      </c>
      <c r="Q176" s="5">
        <f>VLOOKUP(H176,Product_Master!$A:$E,5,FALSE)</f>
        <v>0.18</v>
      </c>
      <c r="R176" s="2">
        <f t="shared" si="9"/>
        <v>13200</v>
      </c>
      <c r="S176" s="2">
        <f t="shared" si="10"/>
        <v>2376</v>
      </c>
      <c r="T176" s="2">
        <f t="shared" si="11"/>
        <v>15576</v>
      </c>
    </row>
    <row r="177" spans="1:20" x14ac:dyDescent="0.2">
      <c r="A177" s="5" t="s">
        <v>387</v>
      </c>
      <c r="B177" s="3">
        <v>46222</v>
      </c>
      <c r="C177" s="21" t="s">
        <v>388</v>
      </c>
      <c r="D177" s="5" t="str" cm="1">
        <f t="array" ref="D177:F177">_xlfn.TEXTSPLIT(TRIM(C177),"-")</f>
        <v>C176</v>
      </c>
      <c r="E177" s="21" t="str">
        <v>Ravi</v>
      </c>
      <c r="F177" s="21" t="str">
        <v>Malappuram</v>
      </c>
      <c r="G177" s="21" t="s">
        <v>17</v>
      </c>
      <c r="H177" s="5" t="str" cm="1">
        <f t="array" ref="H177:I177">_xlfn.TEXTSPLIT(TRIM(G177),"-")</f>
        <v>P102</v>
      </c>
      <c r="I177" s="21" t="str">
        <v>Monitor</v>
      </c>
      <c r="J177" s="21" t="s">
        <v>113</v>
      </c>
      <c r="K177" s="4">
        <v>5</v>
      </c>
      <c r="L177" s="31">
        <v>15000</v>
      </c>
      <c r="M177" s="21" t="s">
        <v>23</v>
      </c>
      <c r="N177" s="30" t="s">
        <v>61</v>
      </c>
      <c r="O177" s="21" t="str">
        <f>VLOOKUP(H177,Product_Master!$A:$E,3,FALSE)</f>
        <v>Electronics</v>
      </c>
      <c r="P177" s="21" t="str">
        <f>VLOOKUP(H177,Product_Master!$A:$E,4,FALSE)</f>
        <v>LG</v>
      </c>
      <c r="Q177" s="5">
        <f>VLOOKUP(H177,Product_Master!$A:$E,5,FALSE)</f>
        <v>0.18</v>
      </c>
      <c r="R177" s="2">
        <f t="shared" si="9"/>
        <v>75000</v>
      </c>
      <c r="S177" s="2">
        <f t="shared" si="10"/>
        <v>13500</v>
      </c>
      <c r="T177" s="2">
        <f t="shared" si="11"/>
        <v>88500</v>
      </c>
    </row>
    <row r="178" spans="1:20" x14ac:dyDescent="0.2">
      <c r="A178" s="5" t="s">
        <v>389</v>
      </c>
      <c r="B178" s="3">
        <v>46209</v>
      </c>
      <c r="C178" s="21" t="s">
        <v>390</v>
      </c>
      <c r="D178" s="5" t="str" cm="1">
        <f t="array" ref="D178:F178">_xlfn.TEXTSPLIT(TRIM(C178),"-")</f>
        <v>C177</v>
      </c>
      <c r="E178" s="21" t="str">
        <v>Adithya</v>
      </c>
      <c r="F178" s="21" t="str">
        <v>Kochi</v>
      </c>
      <c r="G178" s="21" t="s">
        <v>39</v>
      </c>
      <c r="H178" s="5" t="str" cm="1">
        <f t="array" ref="H178:I178">_xlfn.TEXTSPLIT(TRIM(G178),"-")</f>
        <v>P105</v>
      </c>
      <c r="I178" s="21" t="str">
        <v>Headphones</v>
      </c>
      <c r="J178" s="21" t="s">
        <v>64</v>
      </c>
      <c r="K178" s="4">
        <v>1</v>
      </c>
      <c r="L178" s="31">
        <v>2500</v>
      </c>
      <c r="M178" s="21" t="s">
        <v>27</v>
      </c>
      <c r="N178" s="30" t="s">
        <v>28</v>
      </c>
      <c r="O178" s="21" t="str">
        <f>VLOOKUP(H178,Product_Master!$A:$E,3,FALSE)</f>
        <v>Accessories</v>
      </c>
      <c r="P178" s="21" t="str">
        <f>VLOOKUP(H178,Product_Master!$A:$E,4,FALSE)</f>
        <v>Sony</v>
      </c>
      <c r="Q178" s="5">
        <f>VLOOKUP(H178,Product_Master!$A:$E,5,FALSE)</f>
        <v>0.18</v>
      </c>
      <c r="R178" s="2">
        <f t="shared" si="9"/>
        <v>2500</v>
      </c>
      <c r="S178" s="2">
        <f t="shared" si="10"/>
        <v>450</v>
      </c>
      <c r="T178" s="2">
        <f t="shared" si="11"/>
        <v>2950</v>
      </c>
    </row>
    <row r="179" spans="1:20" x14ac:dyDescent="0.2">
      <c r="A179" s="5" t="s">
        <v>391</v>
      </c>
      <c r="B179" s="3">
        <v>46222</v>
      </c>
      <c r="C179" s="21" t="s">
        <v>392</v>
      </c>
      <c r="D179" s="5" t="str" cm="1">
        <f t="array" ref="D179:F179">_xlfn.TEXTSPLIT(TRIM(C179),"-")</f>
        <v>C178</v>
      </c>
      <c r="E179" s="21" t="str">
        <v>Sneha</v>
      </c>
      <c r="F179" s="21" t="str">
        <v>Kochi</v>
      </c>
      <c r="G179" s="21" t="s">
        <v>45</v>
      </c>
      <c r="H179" s="5" t="str" cm="1">
        <f t="array" ref="H179:I179">_xlfn.TEXTSPLIT(TRIM(G179),"-")</f>
        <v>P103</v>
      </c>
      <c r="I179" s="21" t="str">
        <v>Keyboard</v>
      </c>
      <c r="J179" s="21" t="s">
        <v>64</v>
      </c>
      <c r="K179" s="4">
        <v>3</v>
      </c>
      <c r="L179" s="31">
        <v>1200</v>
      </c>
      <c r="M179" s="21" t="s">
        <v>23</v>
      </c>
      <c r="N179" s="30" t="s">
        <v>19</v>
      </c>
      <c r="O179" s="21" t="str">
        <f>VLOOKUP(H179,Product_Master!$A:$E,3,FALSE)</f>
        <v>Accessories</v>
      </c>
      <c r="P179" s="21" t="str">
        <f>VLOOKUP(H179,Product_Master!$A:$E,4,FALSE)</f>
        <v>Logitech</v>
      </c>
      <c r="Q179" s="5">
        <f>VLOOKUP(H179,Product_Master!$A:$E,5,FALSE)</f>
        <v>0.18</v>
      </c>
      <c r="R179" s="2">
        <f t="shared" si="9"/>
        <v>3600</v>
      </c>
      <c r="S179" s="2">
        <f t="shared" si="10"/>
        <v>648</v>
      </c>
      <c r="T179" s="2">
        <f t="shared" si="11"/>
        <v>4248</v>
      </c>
    </row>
    <row r="180" spans="1:20" x14ac:dyDescent="0.2">
      <c r="A180" s="5" t="s">
        <v>393</v>
      </c>
      <c r="B180" s="3">
        <v>46220</v>
      </c>
      <c r="C180" s="21" t="s">
        <v>394</v>
      </c>
      <c r="D180" s="5" t="str" cm="1">
        <f t="array" ref="D180:F180">_xlfn.TEXTSPLIT(TRIM(C180),"-")</f>
        <v>C179</v>
      </c>
      <c r="E180" s="21" t="str">
        <v>Akhil</v>
      </c>
      <c r="F180" s="21" t="str">
        <v>Kochi</v>
      </c>
      <c r="G180" s="21" t="s">
        <v>17</v>
      </c>
      <c r="H180" s="5" t="str" cm="1">
        <f t="array" ref="H180:I180">_xlfn.TEXTSPLIT(TRIM(G180),"-")</f>
        <v>P102</v>
      </c>
      <c r="I180" s="21" t="str">
        <v>Monitor</v>
      </c>
      <c r="J180" s="21" t="s">
        <v>64</v>
      </c>
      <c r="K180" s="4">
        <v>12</v>
      </c>
      <c r="L180" s="31">
        <v>15000</v>
      </c>
      <c r="M180" s="21" t="s">
        <v>23</v>
      </c>
      <c r="N180" s="30" t="s">
        <v>34</v>
      </c>
      <c r="O180" s="21" t="str">
        <f>VLOOKUP(H180,Product_Master!$A:$E,3,FALSE)</f>
        <v>Electronics</v>
      </c>
      <c r="P180" s="21" t="str">
        <f>VLOOKUP(H180,Product_Master!$A:$E,4,FALSE)</f>
        <v>LG</v>
      </c>
      <c r="Q180" s="5">
        <f>VLOOKUP(H180,Product_Master!$A:$E,5,FALSE)</f>
        <v>0.18</v>
      </c>
      <c r="R180" s="2">
        <f t="shared" si="9"/>
        <v>180000</v>
      </c>
      <c r="S180" s="2">
        <f t="shared" si="10"/>
        <v>32400</v>
      </c>
      <c r="T180" s="2">
        <f t="shared" si="11"/>
        <v>212400</v>
      </c>
    </row>
    <row r="181" spans="1:20" x14ac:dyDescent="0.2">
      <c r="A181" s="5" t="s">
        <v>395</v>
      </c>
      <c r="B181" s="3">
        <v>46213</v>
      </c>
      <c r="C181" s="21" t="s">
        <v>396</v>
      </c>
      <c r="D181" s="5" t="str" cm="1">
        <f t="array" ref="D181:F181">_xlfn.TEXTSPLIT(TRIM(C181),"-")</f>
        <v>C180</v>
      </c>
      <c r="E181" s="21" t="str">
        <v>Lakshmi</v>
      </c>
      <c r="F181" s="21" t="str">
        <v>Malappuram</v>
      </c>
      <c r="G181" s="21" t="s">
        <v>45</v>
      </c>
      <c r="H181" s="5" t="str" cm="1">
        <f t="array" ref="H181:I181">_xlfn.TEXTSPLIT(TRIM(G181),"-")</f>
        <v>P103</v>
      </c>
      <c r="I181" s="21" t="str">
        <v>Keyboard</v>
      </c>
      <c r="J181" s="21" t="s">
        <v>113</v>
      </c>
      <c r="K181" s="4">
        <v>6</v>
      </c>
      <c r="L181" s="31">
        <v>1200</v>
      </c>
      <c r="M181" s="21" t="s">
        <v>27</v>
      </c>
      <c r="N181" s="30" t="s">
        <v>61</v>
      </c>
      <c r="O181" s="21" t="str">
        <f>VLOOKUP(H181,Product_Master!$A:$E,3,FALSE)</f>
        <v>Accessories</v>
      </c>
      <c r="P181" s="21" t="str">
        <f>VLOOKUP(H181,Product_Master!$A:$E,4,FALSE)</f>
        <v>Logitech</v>
      </c>
      <c r="Q181" s="5">
        <f>VLOOKUP(H181,Product_Master!$A:$E,5,FALSE)</f>
        <v>0.18</v>
      </c>
      <c r="R181" s="2">
        <f t="shared" si="9"/>
        <v>7200</v>
      </c>
      <c r="S181" s="2">
        <f t="shared" si="10"/>
        <v>1296</v>
      </c>
      <c r="T181" s="2">
        <f t="shared" si="11"/>
        <v>8496</v>
      </c>
    </row>
    <row r="182" spans="1:20" x14ac:dyDescent="0.2">
      <c r="A182" s="5" t="s">
        <v>397</v>
      </c>
      <c r="B182" s="3">
        <v>46209</v>
      </c>
      <c r="C182" s="21" t="s">
        <v>398</v>
      </c>
      <c r="D182" s="5" t="str" cm="1">
        <f t="array" ref="D182:F182">_xlfn.TEXTSPLIT(TRIM(C182),"-")</f>
        <v>C181</v>
      </c>
      <c r="E182" s="21" t="str">
        <v>Adithya</v>
      </c>
      <c r="F182" s="21" t="str">
        <v>Trivandrum</v>
      </c>
      <c r="G182" s="21" t="s">
        <v>11</v>
      </c>
      <c r="H182" s="5" t="str" cm="1">
        <f t="array" ref="H182:I182">_xlfn.TEXTSPLIT(TRIM(G182),"-")</f>
        <v>P101</v>
      </c>
      <c r="I182" s="21" t="str">
        <v>Laptop</v>
      </c>
      <c r="J182" s="21" t="s">
        <v>12</v>
      </c>
      <c r="K182" s="4">
        <v>3</v>
      </c>
      <c r="L182" s="31">
        <v>55000</v>
      </c>
      <c r="M182" s="21" t="s">
        <v>18</v>
      </c>
      <c r="N182" s="30" t="s">
        <v>19</v>
      </c>
      <c r="O182" s="21" t="str">
        <f>VLOOKUP(H182,Product_Master!$A:$E,3,FALSE)</f>
        <v>Electronics</v>
      </c>
      <c r="P182" s="21" t="str">
        <f>VLOOKUP(H182,Product_Master!$A:$E,4,FALSE)</f>
        <v>Dell</v>
      </c>
      <c r="Q182" s="5">
        <f>VLOOKUP(H182,Product_Master!$A:$E,5,FALSE)</f>
        <v>0.18</v>
      </c>
      <c r="R182" s="2">
        <f t="shared" si="9"/>
        <v>165000</v>
      </c>
      <c r="S182" s="2">
        <f t="shared" si="10"/>
        <v>29700</v>
      </c>
      <c r="T182" s="2">
        <f t="shared" si="11"/>
        <v>194700</v>
      </c>
    </row>
    <row r="183" spans="1:20" x14ac:dyDescent="0.2">
      <c r="A183" s="5" t="s">
        <v>399</v>
      </c>
      <c r="B183" s="3">
        <v>46223</v>
      </c>
      <c r="C183" s="21" t="s">
        <v>400</v>
      </c>
      <c r="D183" s="5" t="str" cm="1">
        <f t="array" ref="D183:F183">_xlfn.TEXTSPLIT(TRIM(C183),"-")</f>
        <v>C182</v>
      </c>
      <c r="E183" s="21" t="str">
        <v>Sanjay</v>
      </c>
      <c r="F183" s="21" t="str">
        <v>Alappuzha</v>
      </c>
      <c r="G183" s="21" t="s">
        <v>54</v>
      </c>
      <c r="H183" s="5" t="str" cm="1">
        <f t="array" ref="H183:I183">_xlfn.TEXTSPLIT(TRIM(G183),"-")</f>
        <v>P107</v>
      </c>
      <c r="I183" s="21" t="str">
        <v>Webcam</v>
      </c>
      <c r="J183" s="21" t="s">
        <v>42</v>
      </c>
      <c r="K183" s="4">
        <v>8</v>
      </c>
      <c r="L183" s="31">
        <v>3500</v>
      </c>
      <c r="M183" s="21" t="s">
        <v>23</v>
      </c>
      <c r="N183" s="30" t="s">
        <v>28</v>
      </c>
      <c r="O183" s="21" t="str">
        <f>VLOOKUP(H183,Product_Master!$A:$E,3,FALSE)</f>
        <v>Electronics</v>
      </c>
      <c r="P183" s="21" t="str">
        <f>VLOOKUP(H183,Product_Master!$A:$E,4,FALSE)</f>
        <v>Logitech</v>
      </c>
      <c r="Q183" s="5">
        <f>VLOOKUP(H183,Product_Master!$A:$E,5,FALSE)</f>
        <v>0.18</v>
      </c>
      <c r="R183" s="2">
        <f t="shared" si="9"/>
        <v>28000</v>
      </c>
      <c r="S183" s="2">
        <f t="shared" si="10"/>
        <v>5040</v>
      </c>
      <c r="T183" s="2">
        <f t="shared" si="11"/>
        <v>33040</v>
      </c>
    </row>
    <row r="184" spans="1:20" x14ac:dyDescent="0.2">
      <c r="A184" s="5" t="s">
        <v>401</v>
      </c>
      <c r="B184" s="3">
        <v>46207</v>
      </c>
      <c r="C184" s="21" t="s">
        <v>402</v>
      </c>
      <c r="D184" s="5" t="str" cm="1">
        <f t="array" ref="D184:F184">_xlfn.TEXTSPLIT(TRIM(C184),"-")</f>
        <v>C183</v>
      </c>
      <c r="E184" s="21" t="str">
        <v>Arjun</v>
      </c>
      <c r="F184" s="21" t="str">
        <v>Trivandrum</v>
      </c>
      <c r="G184" s="21" t="s">
        <v>31</v>
      </c>
      <c r="H184" s="5" t="str" cm="1">
        <f t="array" ref="H184:I184">_xlfn.TEXTSPLIT(TRIM(G184),"-")</f>
        <v>P106</v>
      </c>
      <c r="I184" s="21" t="str">
        <v>Printer</v>
      </c>
      <c r="J184" s="21" t="s">
        <v>12</v>
      </c>
      <c r="K184" s="4">
        <v>7</v>
      </c>
      <c r="L184" s="31">
        <v>12500</v>
      </c>
      <c r="M184" s="21" t="s">
        <v>23</v>
      </c>
      <c r="N184" s="30" t="s">
        <v>61</v>
      </c>
      <c r="O184" s="21" t="str">
        <f>VLOOKUP(H184,Product_Master!$A:$E,3,FALSE)</f>
        <v>Electronics</v>
      </c>
      <c r="P184" s="21" t="str">
        <f>VLOOKUP(H184,Product_Master!$A:$E,4,FALSE)</f>
        <v>Canon</v>
      </c>
      <c r="Q184" s="5">
        <f>VLOOKUP(H184,Product_Master!$A:$E,5,FALSE)</f>
        <v>0.18</v>
      </c>
      <c r="R184" s="2">
        <f t="shared" si="9"/>
        <v>87500</v>
      </c>
      <c r="S184" s="2">
        <f t="shared" si="10"/>
        <v>15750</v>
      </c>
      <c r="T184" s="2">
        <f t="shared" si="11"/>
        <v>103250</v>
      </c>
    </row>
    <row r="185" spans="1:20" x14ac:dyDescent="0.2">
      <c r="A185" s="5" t="s">
        <v>403</v>
      </c>
      <c r="B185" s="3">
        <v>46216</v>
      </c>
      <c r="C185" s="21" t="s">
        <v>404</v>
      </c>
      <c r="D185" s="5" t="str" cm="1">
        <f t="array" ref="D185:F185">_xlfn.TEXTSPLIT(TRIM(C185),"-")</f>
        <v>C184</v>
      </c>
      <c r="E185" s="21" t="str">
        <v>Farhan</v>
      </c>
      <c r="F185" s="21" t="str">
        <v>Kollam</v>
      </c>
      <c r="G185" s="21" t="s">
        <v>11</v>
      </c>
      <c r="H185" s="5" t="str" cm="1">
        <f t="array" ref="H185:I185">_xlfn.TEXTSPLIT(TRIM(G185),"-")</f>
        <v>P101</v>
      </c>
      <c r="I185" s="21" t="str">
        <v>Laptop</v>
      </c>
      <c r="J185" s="21" t="s">
        <v>26</v>
      </c>
      <c r="K185" s="4">
        <v>4</v>
      </c>
      <c r="L185" s="31">
        <v>55000</v>
      </c>
      <c r="M185" s="21" t="s">
        <v>18</v>
      </c>
      <c r="N185" s="30" t="s">
        <v>19</v>
      </c>
      <c r="O185" s="21" t="str">
        <f>VLOOKUP(H185,Product_Master!$A:$E,3,FALSE)</f>
        <v>Electronics</v>
      </c>
      <c r="P185" s="21" t="str">
        <f>VLOOKUP(H185,Product_Master!$A:$E,4,FALSE)</f>
        <v>Dell</v>
      </c>
      <c r="Q185" s="5">
        <f>VLOOKUP(H185,Product_Master!$A:$E,5,FALSE)</f>
        <v>0.18</v>
      </c>
      <c r="R185" s="2">
        <f t="shared" si="9"/>
        <v>220000</v>
      </c>
      <c r="S185" s="2">
        <f t="shared" si="10"/>
        <v>39600</v>
      </c>
      <c r="T185" s="2">
        <f t="shared" si="11"/>
        <v>259600</v>
      </c>
    </row>
    <row r="186" spans="1:20" x14ac:dyDescent="0.2">
      <c r="A186" s="5" t="s">
        <v>405</v>
      </c>
      <c r="B186" s="3">
        <v>46228</v>
      </c>
      <c r="C186" s="21" t="s">
        <v>406</v>
      </c>
      <c r="D186" s="5" t="str" cm="1">
        <f t="array" ref="D186:F186">_xlfn.TEXTSPLIT(TRIM(C186),"-")</f>
        <v>C185</v>
      </c>
      <c r="E186" s="21" t="str">
        <v>Arjun</v>
      </c>
      <c r="F186" s="21" t="str">
        <v>Kollam</v>
      </c>
      <c r="G186" s="21" t="s">
        <v>48</v>
      </c>
      <c r="H186" s="5" t="str" cm="1">
        <f t="array" ref="H186:I186">_xlfn.TEXTSPLIT(TRIM(G186),"-")</f>
        <v>P104</v>
      </c>
      <c r="I186" s="21" t="str">
        <v>Mouse</v>
      </c>
      <c r="J186" s="21" t="s">
        <v>26</v>
      </c>
      <c r="K186" s="4">
        <v>3</v>
      </c>
      <c r="L186" s="31">
        <v>750</v>
      </c>
      <c r="M186" s="21" t="s">
        <v>27</v>
      </c>
      <c r="N186" s="30" t="s">
        <v>28</v>
      </c>
      <c r="O186" s="21" t="str">
        <f>VLOOKUP(H186,Product_Master!$A:$E,3,FALSE)</f>
        <v>Accessories</v>
      </c>
      <c r="P186" s="21" t="str">
        <f>VLOOKUP(H186,Product_Master!$A:$E,4,FALSE)</f>
        <v>HP</v>
      </c>
      <c r="Q186" s="5">
        <f>VLOOKUP(H186,Product_Master!$A:$E,5,FALSE)</f>
        <v>0.18</v>
      </c>
      <c r="R186" s="2">
        <f t="shared" si="9"/>
        <v>2250</v>
      </c>
      <c r="S186" s="2">
        <f t="shared" si="10"/>
        <v>405</v>
      </c>
      <c r="T186" s="2">
        <f t="shared" si="11"/>
        <v>2655</v>
      </c>
    </row>
    <row r="187" spans="1:20" x14ac:dyDescent="0.2">
      <c r="A187" s="5" t="s">
        <v>407</v>
      </c>
      <c r="B187" s="3">
        <v>46217</v>
      </c>
      <c r="C187" s="21" t="s">
        <v>408</v>
      </c>
      <c r="D187" s="5" t="str" cm="1">
        <f t="array" ref="D187:F187">_xlfn.TEXTSPLIT(TRIM(C187),"-")</f>
        <v>C186</v>
      </c>
      <c r="E187" s="21" t="str">
        <v>Priya</v>
      </c>
      <c r="F187" s="21" t="str">
        <v>Kochi</v>
      </c>
      <c r="G187" s="21" t="s">
        <v>88</v>
      </c>
      <c r="H187" s="5" t="str" cm="1">
        <f t="array" ref="H187:I187">_xlfn.TEXTSPLIT(TRIM(G187),"-")</f>
        <v>P108</v>
      </c>
      <c r="I187" s="21" t="str">
        <v>SSD</v>
      </c>
      <c r="J187" s="21" t="s">
        <v>64</v>
      </c>
      <c r="K187" s="4">
        <v>12</v>
      </c>
      <c r="L187" s="31">
        <v>6500</v>
      </c>
      <c r="M187" s="21" t="s">
        <v>13</v>
      </c>
      <c r="N187" s="30" t="s">
        <v>34</v>
      </c>
      <c r="O187" s="21" t="str">
        <f>VLOOKUP(H187,Product_Master!$A:$E,3,FALSE)</f>
        <v>Storage</v>
      </c>
      <c r="P187" s="21" t="str">
        <f>VLOOKUP(H187,Product_Master!$A:$E,4,FALSE)</f>
        <v>Samsung</v>
      </c>
      <c r="Q187" s="5">
        <f>VLOOKUP(H187,Product_Master!$A:$E,5,FALSE)</f>
        <v>0.18</v>
      </c>
      <c r="R187" s="2">
        <f t="shared" si="9"/>
        <v>78000</v>
      </c>
      <c r="S187" s="2">
        <f t="shared" si="10"/>
        <v>14040</v>
      </c>
      <c r="T187" s="2">
        <f t="shared" si="11"/>
        <v>92040</v>
      </c>
    </row>
    <row r="188" spans="1:20" x14ac:dyDescent="0.2">
      <c r="A188" s="5" t="s">
        <v>409</v>
      </c>
      <c r="B188" s="3">
        <v>46216</v>
      </c>
      <c r="C188" s="21" t="s">
        <v>410</v>
      </c>
      <c r="D188" s="5" t="str" cm="1">
        <f t="array" ref="D188:F188">_xlfn.TEXTSPLIT(TRIM(C188),"-")</f>
        <v>C187</v>
      </c>
      <c r="E188" s="21" t="str">
        <v>Ravi</v>
      </c>
      <c r="F188" s="21" t="str">
        <v>Kannur</v>
      </c>
      <c r="G188" s="21" t="s">
        <v>31</v>
      </c>
      <c r="H188" s="5" t="str" cm="1">
        <f t="array" ref="H188:I188">_xlfn.TEXTSPLIT(TRIM(G188),"-")</f>
        <v>P106</v>
      </c>
      <c r="I188" s="21" t="str">
        <v>Printer</v>
      </c>
      <c r="J188" s="21" t="s">
        <v>22</v>
      </c>
      <c r="K188" s="4">
        <v>2</v>
      </c>
      <c r="L188" s="31">
        <v>12500</v>
      </c>
      <c r="M188" s="21" t="s">
        <v>18</v>
      </c>
      <c r="N188" s="30" t="s">
        <v>34</v>
      </c>
      <c r="O188" s="21" t="str">
        <f>VLOOKUP(H188,Product_Master!$A:$E,3,FALSE)</f>
        <v>Electronics</v>
      </c>
      <c r="P188" s="21" t="str">
        <f>VLOOKUP(H188,Product_Master!$A:$E,4,FALSE)</f>
        <v>Canon</v>
      </c>
      <c r="Q188" s="5">
        <f>VLOOKUP(H188,Product_Master!$A:$E,5,FALSE)</f>
        <v>0.18</v>
      </c>
      <c r="R188" s="2">
        <f t="shared" si="9"/>
        <v>25000</v>
      </c>
      <c r="S188" s="2">
        <f t="shared" si="10"/>
        <v>4500</v>
      </c>
      <c r="T188" s="2">
        <f t="shared" si="11"/>
        <v>29500</v>
      </c>
    </row>
    <row r="189" spans="1:20" x14ac:dyDescent="0.2">
      <c r="A189" s="5" t="s">
        <v>411</v>
      </c>
      <c r="B189" s="3">
        <v>46222</v>
      </c>
      <c r="C189" s="21" t="s">
        <v>412</v>
      </c>
      <c r="D189" s="5" t="str" cm="1">
        <f t="array" ref="D189:F189">_xlfn.TEXTSPLIT(TRIM(C189),"-")</f>
        <v>C188</v>
      </c>
      <c r="E189" s="21" t="str">
        <v>Rahul</v>
      </c>
      <c r="F189" s="21" t="str">
        <v>Alappuzha</v>
      </c>
      <c r="G189" s="21" t="s">
        <v>17</v>
      </c>
      <c r="H189" s="5" t="str" cm="1">
        <f t="array" ref="H189:I189">_xlfn.TEXTSPLIT(TRIM(G189),"-")</f>
        <v>P102</v>
      </c>
      <c r="I189" s="21" t="str">
        <v>Monitor</v>
      </c>
      <c r="J189" s="21" t="s">
        <v>42</v>
      </c>
      <c r="K189" s="4">
        <v>6</v>
      </c>
      <c r="L189" s="31">
        <v>15000</v>
      </c>
      <c r="M189" s="21" t="s">
        <v>23</v>
      </c>
      <c r="N189" s="30" t="s">
        <v>34</v>
      </c>
      <c r="O189" s="21" t="str">
        <f>VLOOKUP(H189,Product_Master!$A:$E,3,FALSE)</f>
        <v>Electronics</v>
      </c>
      <c r="P189" s="21" t="str">
        <f>VLOOKUP(H189,Product_Master!$A:$E,4,FALSE)</f>
        <v>LG</v>
      </c>
      <c r="Q189" s="5">
        <f>VLOOKUP(H189,Product_Master!$A:$E,5,FALSE)</f>
        <v>0.18</v>
      </c>
      <c r="R189" s="2">
        <f t="shared" si="9"/>
        <v>90000</v>
      </c>
      <c r="S189" s="2">
        <f t="shared" si="10"/>
        <v>16200</v>
      </c>
      <c r="T189" s="2">
        <f t="shared" si="11"/>
        <v>106200</v>
      </c>
    </row>
    <row r="190" spans="1:20" x14ac:dyDescent="0.2">
      <c r="A190" s="5" t="s">
        <v>413</v>
      </c>
      <c r="B190" s="3">
        <v>46234</v>
      </c>
      <c r="C190" s="21" t="s">
        <v>414</v>
      </c>
      <c r="D190" s="5" t="str" cm="1">
        <f t="array" ref="D190:F190">_xlfn.TEXTSPLIT(TRIM(C190),"-")</f>
        <v>C189</v>
      </c>
      <c r="E190" s="21" t="str">
        <v>Fathima</v>
      </c>
      <c r="F190" s="21" t="str">
        <v>Trivandrum</v>
      </c>
      <c r="G190" s="21" t="s">
        <v>54</v>
      </c>
      <c r="H190" s="5" t="str" cm="1">
        <f t="array" ref="H190:I190">_xlfn.TEXTSPLIT(TRIM(G190),"-")</f>
        <v>P107</v>
      </c>
      <c r="I190" s="21" t="str">
        <v>Webcam</v>
      </c>
      <c r="J190" s="21" t="s">
        <v>12</v>
      </c>
      <c r="K190" s="4">
        <v>1</v>
      </c>
      <c r="L190" s="31">
        <v>3500</v>
      </c>
      <c r="M190" s="21" t="s">
        <v>13</v>
      </c>
      <c r="N190" s="30" t="s">
        <v>61</v>
      </c>
      <c r="O190" s="21" t="str">
        <f>VLOOKUP(H190,Product_Master!$A:$E,3,FALSE)</f>
        <v>Electronics</v>
      </c>
      <c r="P190" s="21" t="str">
        <f>VLOOKUP(H190,Product_Master!$A:$E,4,FALSE)</f>
        <v>Logitech</v>
      </c>
      <c r="Q190" s="5">
        <f>VLOOKUP(H190,Product_Master!$A:$E,5,FALSE)</f>
        <v>0.18</v>
      </c>
      <c r="R190" s="2">
        <f t="shared" si="9"/>
        <v>3500</v>
      </c>
      <c r="S190" s="2">
        <f t="shared" si="10"/>
        <v>630</v>
      </c>
      <c r="T190" s="2">
        <f t="shared" si="11"/>
        <v>4130</v>
      </c>
    </row>
    <row r="191" spans="1:20" x14ac:dyDescent="0.2">
      <c r="A191" s="5" t="s">
        <v>415</v>
      </c>
      <c r="B191" s="3">
        <v>46231</v>
      </c>
      <c r="C191" s="21" t="s">
        <v>416</v>
      </c>
      <c r="D191" s="5" t="str" cm="1">
        <f t="array" ref="D191:F191">_xlfn.TEXTSPLIT(TRIM(C191),"-")</f>
        <v>C190</v>
      </c>
      <c r="E191" s="21" t="str">
        <v>Lakshmi</v>
      </c>
      <c r="F191" s="21" t="str">
        <v>Malappuram</v>
      </c>
      <c r="G191" s="21" t="s">
        <v>17</v>
      </c>
      <c r="H191" s="5" t="str" cm="1">
        <f t="array" ref="H191:I191">_xlfn.TEXTSPLIT(TRIM(G191),"-")</f>
        <v>P102</v>
      </c>
      <c r="I191" s="21" t="str">
        <v>Monitor</v>
      </c>
      <c r="J191" s="21" t="s">
        <v>113</v>
      </c>
      <c r="K191" s="4">
        <v>7</v>
      </c>
      <c r="L191" s="31">
        <v>15000</v>
      </c>
      <c r="M191" s="21" t="s">
        <v>13</v>
      </c>
      <c r="N191" s="30" t="s">
        <v>34</v>
      </c>
      <c r="O191" s="21" t="str">
        <f>VLOOKUP(H191,Product_Master!$A:$E,3,FALSE)</f>
        <v>Electronics</v>
      </c>
      <c r="P191" s="21" t="str">
        <f>VLOOKUP(H191,Product_Master!$A:$E,4,FALSE)</f>
        <v>LG</v>
      </c>
      <c r="Q191" s="5">
        <f>VLOOKUP(H191,Product_Master!$A:$E,5,FALSE)</f>
        <v>0.18</v>
      </c>
      <c r="R191" s="2">
        <f t="shared" si="9"/>
        <v>105000</v>
      </c>
      <c r="S191" s="2">
        <f t="shared" si="10"/>
        <v>18900</v>
      </c>
      <c r="T191" s="2">
        <f t="shared" si="11"/>
        <v>123900</v>
      </c>
    </row>
    <row r="192" spans="1:20" x14ac:dyDescent="0.2">
      <c r="A192" s="5" t="s">
        <v>417</v>
      </c>
      <c r="B192" s="3">
        <v>46231</v>
      </c>
      <c r="C192" s="21" t="s">
        <v>418</v>
      </c>
      <c r="D192" s="5" t="str" cm="1">
        <f t="array" ref="D192:F192">_xlfn.TEXTSPLIT(TRIM(C192),"-")</f>
        <v>C191</v>
      </c>
      <c r="E192" s="21" t="str">
        <v>Asha</v>
      </c>
      <c r="F192" s="21" t="str">
        <v>Thrissur</v>
      </c>
      <c r="G192" s="21" t="s">
        <v>17</v>
      </c>
      <c r="H192" s="5" t="str" cm="1">
        <f t="array" ref="H192:I192">_xlfn.TEXTSPLIT(TRIM(G192),"-")</f>
        <v>P102</v>
      </c>
      <c r="I192" s="21" t="str">
        <v>Monitor</v>
      </c>
      <c r="J192" s="21" t="s">
        <v>51</v>
      </c>
      <c r="K192" s="4">
        <v>7</v>
      </c>
      <c r="L192" s="31">
        <v>15000</v>
      </c>
      <c r="M192" s="21" t="s">
        <v>27</v>
      </c>
      <c r="N192" s="30" t="s">
        <v>14</v>
      </c>
      <c r="O192" s="21" t="str">
        <f>VLOOKUP(H192,Product_Master!$A:$E,3,FALSE)</f>
        <v>Electronics</v>
      </c>
      <c r="P192" s="21" t="str">
        <f>VLOOKUP(H192,Product_Master!$A:$E,4,FALSE)</f>
        <v>LG</v>
      </c>
      <c r="Q192" s="5">
        <f>VLOOKUP(H192,Product_Master!$A:$E,5,FALSE)</f>
        <v>0.18</v>
      </c>
      <c r="R192" s="2">
        <f t="shared" si="9"/>
        <v>105000</v>
      </c>
      <c r="S192" s="2">
        <f t="shared" si="10"/>
        <v>18900</v>
      </c>
      <c r="T192" s="2">
        <f t="shared" si="11"/>
        <v>123900</v>
      </c>
    </row>
    <row r="193" spans="1:20" x14ac:dyDescent="0.2">
      <c r="A193" s="5" t="s">
        <v>419</v>
      </c>
      <c r="B193" s="3">
        <v>46224</v>
      </c>
      <c r="C193" s="21" t="s">
        <v>420</v>
      </c>
      <c r="D193" s="5" t="str" cm="1">
        <f t="array" ref="D193:F193">_xlfn.TEXTSPLIT(TRIM(C193),"-")</f>
        <v>C192</v>
      </c>
      <c r="E193" s="21" t="str">
        <v>Nikhil</v>
      </c>
      <c r="F193" s="21" t="str">
        <v>Kozhikode</v>
      </c>
      <c r="G193" s="21" t="s">
        <v>17</v>
      </c>
      <c r="H193" s="5" t="str" cm="1">
        <f t="array" ref="H193:I193">_xlfn.TEXTSPLIT(TRIM(G193),"-")</f>
        <v>P102</v>
      </c>
      <c r="I193" s="21" t="str">
        <v>Monitor</v>
      </c>
      <c r="J193" s="21" t="s">
        <v>71</v>
      </c>
      <c r="K193" s="4">
        <v>9</v>
      </c>
      <c r="L193" s="31">
        <v>15000</v>
      </c>
      <c r="M193" s="21" t="s">
        <v>13</v>
      </c>
      <c r="N193" s="30" t="s">
        <v>28</v>
      </c>
      <c r="O193" s="21" t="str">
        <f>VLOOKUP(H193,Product_Master!$A:$E,3,FALSE)</f>
        <v>Electronics</v>
      </c>
      <c r="P193" s="21" t="str">
        <f>VLOOKUP(H193,Product_Master!$A:$E,4,FALSE)</f>
        <v>LG</v>
      </c>
      <c r="Q193" s="5">
        <f>VLOOKUP(H193,Product_Master!$A:$E,5,FALSE)</f>
        <v>0.18</v>
      </c>
      <c r="R193" s="2">
        <f t="shared" si="9"/>
        <v>135000</v>
      </c>
      <c r="S193" s="2">
        <f t="shared" si="10"/>
        <v>24300</v>
      </c>
      <c r="T193" s="2">
        <f t="shared" si="11"/>
        <v>159300</v>
      </c>
    </row>
    <row r="194" spans="1:20" x14ac:dyDescent="0.2">
      <c r="A194" s="5" t="s">
        <v>421</v>
      </c>
      <c r="B194" s="3">
        <v>46208</v>
      </c>
      <c r="C194" s="21" t="s">
        <v>422</v>
      </c>
      <c r="D194" s="5" t="str" cm="1">
        <f t="array" ref="D194:F194">_xlfn.TEXTSPLIT(TRIM(C194),"-")</f>
        <v>C193</v>
      </c>
      <c r="E194" s="21" t="str">
        <v>Sneha</v>
      </c>
      <c r="F194" s="21" t="str">
        <v>Kozhikode</v>
      </c>
      <c r="G194" s="21" t="s">
        <v>48</v>
      </c>
      <c r="H194" s="5" t="str" cm="1">
        <f t="array" ref="H194:I194">_xlfn.TEXTSPLIT(TRIM(G194),"-")</f>
        <v>P104</v>
      </c>
      <c r="I194" s="21" t="str">
        <v>Mouse</v>
      </c>
      <c r="J194" s="21" t="s">
        <v>71</v>
      </c>
      <c r="K194" s="4">
        <v>2</v>
      </c>
      <c r="L194" s="31">
        <v>750</v>
      </c>
      <c r="M194" s="21" t="s">
        <v>13</v>
      </c>
      <c r="N194" s="30" t="s">
        <v>14</v>
      </c>
      <c r="O194" s="21" t="str">
        <f>VLOOKUP(H194,Product_Master!$A:$E,3,FALSE)</f>
        <v>Accessories</v>
      </c>
      <c r="P194" s="21" t="str">
        <f>VLOOKUP(H194,Product_Master!$A:$E,4,FALSE)</f>
        <v>HP</v>
      </c>
      <c r="Q194" s="5">
        <f>VLOOKUP(H194,Product_Master!$A:$E,5,FALSE)</f>
        <v>0.18</v>
      </c>
      <c r="R194" s="2">
        <f t="shared" si="9"/>
        <v>1500</v>
      </c>
      <c r="S194" s="2">
        <f t="shared" si="10"/>
        <v>270</v>
      </c>
      <c r="T194" s="2">
        <f t="shared" si="11"/>
        <v>1770</v>
      </c>
    </row>
    <row r="195" spans="1:20" x14ac:dyDescent="0.2">
      <c r="A195" s="5" t="s">
        <v>423</v>
      </c>
      <c r="B195" s="3">
        <v>46234</v>
      </c>
      <c r="C195" s="21" t="s">
        <v>424</v>
      </c>
      <c r="D195" s="5" t="str" cm="1">
        <f t="array" ref="D195:F195">_xlfn.TEXTSPLIT(TRIM(C195),"-")</f>
        <v>C194</v>
      </c>
      <c r="E195" s="21" t="str">
        <v>Adithya</v>
      </c>
      <c r="F195" s="21" t="str">
        <v>Kozhikode</v>
      </c>
      <c r="G195" s="21" t="s">
        <v>17</v>
      </c>
      <c r="H195" s="5" t="str" cm="1">
        <f t="array" ref="H195:I195">_xlfn.TEXTSPLIT(TRIM(G195),"-")</f>
        <v>P102</v>
      </c>
      <c r="I195" s="21" t="str">
        <v>Monitor</v>
      </c>
      <c r="J195" s="21" t="s">
        <v>71</v>
      </c>
      <c r="K195" s="4">
        <v>3</v>
      </c>
      <c r="L195" s="31">
        <v>15000</v>
      </c>
      <c r="M195" s="21" t="s">
        <v>23</v>
      </c>
      <c r="N195" s="30" t="s">
        <v>34</v>
      </c>
      <c r="O195" s="21" t="str">
        <f>VLOOKUP(H195,Product_Master!$A:$E,3,FALSE)</f>
        <v>Electronics</v>
      </c>
      <c r="P195" s="21" t="str">
        <f>VLOOKUP(H195,Product_Master!$A:$E,4,FALSE)</f>
        <v>LG</v>
      </c>
      <c r="Q195" s="5">
        <f>VLOOKUP(H195,Product_Master!$A:$E,5,FALSE)</f>
        <v>0.18</v>
      </c>
      <c r="R195" s="2">
        <f t="shared" ref="R195:R251" si="12">K195*L195</f>
        <v>45000</v>
      </c>
      <c r="S195" s="2">
        <f t="shared" ref="S195:S251" si="13">R195*Q195</f>
        <v>8100</v>
      </c>
      <c r="T195" s="2">
        <f t="shared" ref="T195:T251" si="14">R195+S195</f>
        <v>53100</v>
      </c>
    </row>
    <row r="196" spans="1:20" x14ac:dyDescent="0.2">
      <c r="A196" s="5" t="s">
        <v>425</v>
      </c>
      <c r="B196" s="3">
        <v>46214</v>
      </c>
      <c r="C196" s="21" t="s">
        <v>426</v>
      </c>
      <c r="D196" s="5" t="str" cm="1">
        <f t="array" ref="D196:F196">_xlfn.TEXTSPLIT(TRIM(C196),"-")</f>
        <v>C195</v>
      </c>
      <c r="E196" s="21" t="str">
        <v>Asha</v>
      </c>
      <c r="F196" s="21" t="str">
        <v>Alappuzha</v>
      </c>
      <c r="G196" s="21" t="s">
        <v>31</v>
      </c>
      <c r="H196" s="5" t="str" cm="1">
        <f t="array" ref="H196:I196">_xlfn.TEXTSPLIT(TRIM(G196),"-")</f>
        <v>P106</v>
      </c>
      <c r="I196" s="21" t="str">
        <v>Printer</v>
      </c>
      <c r="J196" s="21" t="s">
        <v>42</v>
      </c>
      <c r="K196" s="4">
        <v>11</v>
      </c>
      <c r="L196" s="31">
        <v>12500</v>
      </c>
      <c r="M196" s="21" t="s">
        <v>23</v>
      </c>
      <c r="N196" s="30" t="s">
        <v>19</v>
      </c>
      <c r="O196" s="21" t="str">
        <f>VLOOKUP(H196,Product_Master!$A:$E,3,FALSE)</f>
        <v>Electronics</v>
      </c>
      <c r="P196" s="21" t="str">
        <f>VLOOKUP(H196,Product_Master!$A:$E,4,FALSE)</f>
        <v>Canon</v>
      </c>
      <c r="Q196" s="5">
        <f>VLOOKUP(H196,Product_Master!$A:$E,5,FALSE)</f>
        <v>0.18</v>
      </c>
      <c r="R196" s="2">
        <f t="shared" si="12"/>
        <v>137500</v>
      </c>
      <c r="S196" s="2">
        <f t="shared" si="13"/>
        <v>24750</v>
      </c>
      <c r="T196" s="2">
        <f t="shared" si="14"/>
        <v>162250</v>
      </c>
    </row>
    <row r="197" spans="1:20" x14ac:dyDescent="0.2">
      <c r="A197" s="5" t="s">
        <v>427</v>
      </c>
      <c r="B197" s="3">
        <v>46222</v>
      </c>
      <c r="C197" s="21" t="s">
        <v>428</v>
      </c>
      <c r="D197" s="5" t="str" cm="1">
        <f t="array" ref="D197:F197">_xlfn.TEXTSPLIT(TRIM(C197),"-")</f>
        <v>C196</v>
      </c>
      <c r="E197" s="21" t="str">
        <v>Kiran</v>
      </c>
      <c r="F197" s="21" t="str">
        <v>Alappuzha</v>
      </c>
      <c r="G197" s="21" t="s">
        <v>39</v>
      </c>
      <c r="H197" s="5" t="str" cm="1">
        <f t="array" ref="H197:I197">_xlfn.TEXTSPLIT(TRIM(G197),"-")</f>
        <v>P105</v>
      </c>
      <c r="I197" s="21" t="str">
        <v>Headphones</v>
      </c>
      <c r="J197" s="21" t="s">
        <v>42</v>
      </c>
      <c r="K197" s="4">
        <v>5</v>
      </c>
      <c r="L197" s="31">
        <v>2500</v>
      </c>
      <c r="M197" s="21" t="s">
        <v>27</v>
      </c>
      <c r="N197" s="30" t="s">
        <v>61</v>
      </c>
      <c r="O197" s="21" t="str">
        <f>VLOOKUP(H197,Product_Master!$A:$E,3,FALSE)</f>
        <v>Accessories</v>
      </c>
      <c r="P197" s="21" t="str">
        <f>VLOOKUP(H197,Product_Master!$A:$E,4,FALSE)</f>
        <v>Sony</v>
      </c>
      <c r="Q197" s="5">
        <f>VLOOKUP(H197,Product_Master!$A:$E,5,FALSE)</f>
        <v>0.18</v>
      </c>
      <c r="R197" s="2">
        <f t="shared" si="12"/>
        <v>12500</v>
      </c>
      <c r="S197" s="2">
        <f t="shared" si="13"/>
        <v>2250</v>
      </c>
      <c r="T197" s="2">
        <f t="shared" si="14"/>
        <v>14750</v>
      </c>
    </row>
    <row r="198" spans="1:20" x14ac:dyDescent="0.2">
      <c r="A198" s="5" t="s">
        <v>429</v>
      </c>
      <c r="B198" s="3">
        <v>46205</v>
      </c>
      <c r="C198" s="21" t="s">
        <v>430</v>
      </c>
      <c r="D198" s="5" t="str" cm="1">
        <f t="array" ref="D198:F198">_xlfn.TEXTSPLIT(TRIM(C198),"-")</f>
        <v>C197</v>
      </c>
      <c r="E198" s="21" t="str">
        <v>Mohammed</v>
      </c>
      <c r="F198" s="21" t="str">
        <v>Kollam</v>
      </c>
      <c r="G198" s="21" t="s">
        <v>88</v>
      </c>
      <c r="H198" s="5" t="str" cm="1">
        <f t="array" ref="H198:I198">_xlfn.TEXTSPLIT(TRIM(G198),"-")</f>
        <v>P108</v>
      </c>
      <c r="I198" s="21" t="str">
        <v>SSD</v>
      </c>
      <c r="J198" s="21" t="s">
        <v>26</v>
      </c>
      <c r="K198" s="4">
        <v>8</v>
      </c>
      <c r="L198" s="31">
        <v>6500</v>
      </c>
      <c r="M198" s="21" t="s">
        <v>27</v>
      </c>
      <c r="N198" s="30" t="s">
        <v>28</v>
      </c>
      <c r="O198" s="21" t="str">
        <f>VLOOKUP(H198,Product_Master!$A:$E,3,FALSE)</f>
        <v>Storage</v>
      </c>
      <c r="P198" s="21" t="str">
        <f>VLOOKUP(H198,Product_Master!$A:$E,4,FALSE)</f>
        <v>Samsung</v>
      </c>
      <c r="Q198" s="5">
        <f>VLOOKUP(H198,Product_Master!$A:$E,5,FALSE)</f>
        <v>0.18</v>
      </c>
      <c r="R198" s="2">
        <f t="shared" si="12"/>
        <v>52000</v>
      </c>
      <c r="S198" s="2">
        <f t="shared" si="13"/>
        <v>9360</v>
      </c>
      <c r="T198" s="2">
        <f t="shared" si="14"/>
        <v>61360</v>
      </c>
    </row>
    <row r="199" spans="1:20" x14ac:dyDescent="0.2">
      <c r="A199" s="5" t="s">
        <v>431</v>
      </c>
      <c r="B199" s="3">
        <v>46222</v>
      </c>
      <c r="C199" s="21" t="s">
        <v>432</v>
      </c>
      <c r="D199" s="5" t="str" cm="1">
        <f t="array" ref="D199:F199">_xlfn.TEXTSPLIT(TRIM(C199),"-")</f>
        <v>C198</v>
      </c>
      <c r="E199" s="21" t="str">
        <v>Mohammed</v>
      </c>
      <c r="F199" s="21" t="str">
        <v>Trivandrum</v>
      </c>
      <c r="G199" s="21" t="s">
        <v>54</v>
      </c>
      <c r="H199" s="5" t="str" cm="1">
        <f t="array" ref="H199:I199">_xlfn.TEXTSPLIT(TRIM(G199),"-")</f>
        <v>P107</v>
      </c>
      <c r="I199" s="21" t="str">
        <v>Webcam</v>
      </c>
      <c r="J199" s="21" t="s">
        <v>12</v>
      </c>
      <c r="K199" s="4">
        <v>8</v>
      </c>
      <c r="L199" s="31">
        <v>3500</v>
      </c>
      <c r="M199" s="21" t="s">
        <v>18</v>
      </c>
      <c r="N199" s="30" t="s">
        <v>34</v>
      </c>
      <c r="O199" s="21" t="str">
        <f>VLOOKUP(H199,Product_Master!$A:$E,3,FALSE)</f>
        <v>Electronics</v>
      </c>
      <c r="P199" s="21" t="str">
        <f>VLOOKUP(H199,Product_Master!$A:$E,4,FALSE)</f>
        <v>Logitech</v>
      </c>
      <c r="Q199" s="5">
        <f>VLOOKUP(H199,Product_Master!$A:$E,5,FALSE)</f>
        <v>0.18</v>
      </c>
      <c r="R199" s="2">
        <f t="shared" si="12"/>
        <v>28000</v>
      </c>
      <c r="S199" s="2">
        <f t="shared" si="13"/>
        <v>5040</v>
      </c>
      <c r="T199" s="2">
        <f t="shared" si="14"/>
        <v>33040</v>
      </c>
    </row>
    <row r="200" spans="1:20" x14ac:dyDescent="0.2">
      <c r="A200" s="5" t="s">
        <v>433</v>
      </c>
      <c r="B200" s="3">
        <v>46219</v>
      </c>
      <c r="C200" s="21" t="s">
        <v>434</v>
      </c>
      <c r="D200" s="5" t="str" cm="1">
        <f t="array" ref="D200:F200">_xlfn.TEXTSPLIT(TRIM(C200),"-")</f>
        <v>C199</v>
      </c>
      <c r="E200" s="21" t="str">
        <v>Asha</v>
      </c>
      <c r="F200" s="21" t="str">
        <v>Kannur</v>
      </c>
      <c r="G200" s="21" t="s">
        <v>31</v>
      </c>
      <c r="H200" s="5" t="str" cm="1">
        <f t="array" ref="H200:I200">_xlfn.TEXTSPLIT(TRIM(G200),"-")</f>
        <v>P106</v>
      </c>
      <c r="I200" s="21" t="str">
        <v>Printer</v>
      </c>
      <c r="J200" s="21" t="s">
        <v>22</v>
      </c>
      <c r="K200" s="4">
        <v>10</v>
      </c>
      <c r="L200" s="31">
        <v>12500</v>
      </c>
      <c r="M200" s="21" t="s">
        <v>13</v>
      </c>
      <c r="N200" s="30" t="s">
        <v>19</v>
      </c>
      <c r="O200" s="21" t="str">
        <f>VLOOKUP(H200,Product_Master!$A:$E,3,FALSE)</f>
        <v>Electronics</v>
      </c>
      <c r="P200" s="21" t="str">
        <f>VLOOKUP(H200,Product_Master!$A:$E,4,FALSE)</f>
        <v>Canon</v>
      </c>
      <c r="Q200" s="5">
        <f>VLOOKUP(H200,Product_Master!$A:$E,5,FALSE)</f>
        <v>0.18</v>
      </c>
      <c r="R200" s="2">
        <f t="shared" si="12"/>
        <v>125000</v>
      </c>
      <c r="S200" s="2">
        <f t="shared" si="13"/>
        <v>22500</v>
      </c>
      <c r="T200" s="2">
        <f t="shared" si="14"/>
        <v>147500</v>
      </c>
    </row>
    <row r="201" spans="1:20" x14ac:dyDescent="0.2">
      <c r="A201" s="5" t="s">
        <v>435</v>
      </c>
      <c r="B201" s="3">
        <v>46206</v>
      </c>
      <c r="C201" s="21" t="s">
        <v>436</v>
      </c>
      <c r="D201" s="5" t="str" cm="1">
        <f t="array" ref="D201:F201">_xlfn.TEXTSPLIT(TRIM(C201),"-")</f>
        <v>C200</v>
      </c>
      <c r="E201" s="21" t="str">
        <v>Lakshmi</v>
      </c>
      <c r="F201" s="21" t="str">
        <v>Trivandrum</v>
      </c>
      <c r="G201" s="21" t="s">
        <v>31</v>
      </c>
      <c r="H201" s="5" t="str" cm="1">
        <f t="array" ref="H201:I201">_xlfn.TEXTSPLIT(TRIM(G201),"-")</f>
        <v>P106</v>
      </c>
      <c r="I201" s="21" t="str">
        <v>Printer</v>
      </c>
      <c r="J201" s="21" t="s">
        <v>12</v>
      </c>
      <c r="K201" s="4">
        <v>12</v>
      </c>
      <c r="L201" s="31">
        <v>12500</v>
      </c>
      <c r="M201" s="21" t="s">
        <v>13</v>
      </c>
      <c r="N201" s="30" t="s">
        <v>19</v>
      </c>
      <c r="O201" s="21" t="str">
        <f>VLOOKUP(H201,Product_Master!$A:$E,3,FALSE)</f>
        <v>Electronics</v>
      </c>
      <c r="P201" s="21" t="str">
        <f>VLOOKUP(H201,Product_Master!$A:$E,4,FALSE)</f>
        <v>Canon</v>
      </c>
      <c r="Q201" s="5">
        <f>VLOOKUP(H201,Product_Master!$A:$E,5,FALSE)</f>
        <v>0.18</v>
      </c>
      <c r="R201" s="2">
        <f t="shared" si="12"/>
        <v>150000</v>
      </c>
      <c r="S201" s="2">
        <f t="shared" si="13"/>
        <v>27000</v>
      </c>
      <c r="T201" s="2">
        <f t="shared" si="14"/>
        <v>177000</v>
      </c>
    </row>
    <row r="202" spans="1:20" x14ac:dyDescent="0.2">
      <c r="A202" s="5" t="s">
        <v>437</v>
      </c>
      <c r="B202" s="3">
        <v>46220</v>
      </c>
      <c r="C202" s="21" t="s">
        <v>438</v>
      </c>
      <c r="D202" s="5" t="str" cm="1">
        <f t="array" ref="D202:F202">_xlfn.TEXTSPLIT(TRIM(C202),"-")</f>
        <v>C201</v>
      </c>
      <c r="E202" s="21" t="str">
        <v>Divya</v>
      </c>
      <c r="F202" s="21" t="str">
        <v>Alappuzha</v>
      </c>
      <c r="G202" s="21" t="s">
        <v>88</v>
      </c>
      <c r="H202" s="5" t="str" cm="1">
        <f t="array" ref="H202:I202">_xlfn.TEXTSPLIT(TRIM(G202),"-")</f>
        <v>P108</v>
      </c>
      <c r="I202" s="21" t="str">
        <v>SSD</v>
      </c>
      <c r="J202" s="21" t="s">
        <v>42</v>
      </c>
      <c r="K202" s="4">
        <v>9</v>
      </c>
      <c r="L202" s="31">
        <v>6500</v>
      </c>
      <c r="M202" s="21" t="s">
        <v>13</v>
      </c>
      <c r="N202" s="30" t="s">
        <v>28</v>
      </c>
      <c r="O202" s="21" t="str">
        <f>VLOOKUP(H202,Product_Master!$A:$E,3,FALSE)</f>
        <v>Storage</v>
      </c>
      <c r="P202" s="21" t="str">
        <f>VLOOKUP(H202,Product_Master!$A:$E,4,FALSE)</f>
        <v>Samsung</v>
      </c>
      <c r="Q202" s="5">
        <f>VLOOKUP(H202,Product_Master!$A:$E,5,FALSE)</f>
        <v>0.18</v>
      </c>
      <c r="R202" s="2">
        <f t="shared" si="12"/>
        <v>58500</v>
      </c>
      <c r="S202" s="2">
        <f t="shared" si="13"/>
        <v>10530</v>
      </c>
      <c r="T202" s="2">
        <f t="shared" si="14"/>
        <v>69030</v>
      </c>
    </row>
    <row r="203" spans="1:20" x14ac:dyDescent="0.2">
      <c r="A203" s="5" t="s">
        <v>439</v>
      </c>
      <c r="B203" s="3">
        <v>46228</v>
      </c>
      <c r="C203" s="21" t="s">
        <v>440</v>
      </c>
      <c r="D203" s="5" t="str" cm="1">
        <f t="array" ref="D203:F203">_xlfn.TEXTSPLIT(TRIM(C203),"-")</f>
        <v>C202</v>
      </c>
      <c r="E203" s="21" t="str">
        <v>Sneha</v>
      </c>
      <c r="F203" s="21" t="str">
        <v>Kollam</v>
      </c>
      <c r="G203" s="21" t="s">
        <v>54</v>
      </c>
      <c r="H203" s="5" t="str" cm="1">
        <f t="array" ref="H203:I203">_xlfn.TEXTSPLIT(TRIM(G203),"-")</f>
        <v>P107</v>
      </c>
      <c r="I203" s="21" t="str">
        <v>Webcam</v>
      </c>
      <c r="J203" s="21" t="s">
        <v>26</v>
      </c>
      <c r="K203" s="4">
        <v>7</v>
      </c>
      <c r="L203" s="31">
        <v>3500</v>
      </c>
      <c r="M203" s="21" t="s">
        <v>18</v>
      </c>
      <c r="N203" s="30" t="s">
        <v>28</v>
      </c>
      <c r="O203" s="21" t="str">
        <f>VLOOKUP(H203,Product_Master!$A:$E,3,FALSE)</f>
        <v>Electronics</v>
      </c>
      <c r="P203" s="21" t="str">
        <f>VLOOKUP(H203,Product_Master!$A:$E,4,FALSE)</f>
        <v>Logitech</v>
      </c>
      <c r="Q203" s="5">
        <f>VLOOKUP(H203,Product_Master!$A:$E,5,FALSE)</f>
        <v>0.18</v>
      </c>
      <c r="R203" s="2">
        <f t="shared" si="12"/>
        <v>24500</v>
      </c>
      <c r="S203" s="2">
        <f t="shared" si="13"/>
        <v>4410</v>
      </c>
      <c r="T203" s="2">
        <f t="shared" si="14"/>
        <v>28910</v>
      </c>
    </row>
    <row r="204" spans="1:20" x14ac:dyDescent="0.2">
      <c r="A204" s="5" t="s">
        <v>441</v>
      </c>
      <c r="B204" s="3">
        <v>46225</v>
      </c>
      <c r="C204" s="21" t="s">
        <v>442</v>
      </c>
      <c r="D204" s="5" t="str" cm="1">
        <f t="array" ref="D204:F204">_xlfn.TEXTSPLIT(TRIM(C204),"-")</f>
        <v>C203</v>
      </c>
      <c r="E204" s="21" t="str">
        <v>Mohammed</v>
      </c>
      <c r="F204" s="21" t="str">
        <v>Malappuram</v>
      </c>
      <c r="G204" s="21" t="s">
        <v>17</v>
      </c>
      <c r="H204" s="5" t="str" cm="1">
        <f t="array" ref="H204:I204">_xlfn.TEXTSPLIT(TRIM(G204),"-")</f>
        <v>P102</v>
      </c>
      <c r="I204" s="21" t="str">
        <v>Monitor</v>
      </c>
      <c r="J204" s="21" t="s">
        <v>113</v>
      </c>
      <c r="K204" s="4">
        <v>9</v>
      </c>
      <c r="L204" s="31">
        <v>15000</v>
      </c>
      <c r="M204" s="21" t="s">
        <v>27</v>
      </c>
      <c r="N204" s="30" t="s">
        <v>28</v>
      </c>
      <c r="O204" s="21" t="str">
        <f>VLOOKUP(H204,Product_Master!$A:$E,3,FALSE)</f>
        <v>Electronics</v>
      </c>
      <c r="P204" s="21" t="str">
        <f>VLOOKUP(H204,Product_Master!$A:$E,4,FALSE)</f>
        <v>LG</v>
      </c>
      <c r="Q204" s="5">
        <f>VLOOKUP(H204,Product_Master!$A:$E,5,FALSE)</f>
        <v>0.18</v>
      </c>
      <c r="R204" s="2">
        <f t="shared" si="12"/>
        <v>135000</v>
      </c>
      <c r="S204" s="2">
        <f t="shared" si="13"/>
        <v>24300</v>
      </c>
      <c r="T204" s="2">
        <f t="shared" si="14"/>
        <v>159300</v>
      </c>
    </row>
    <row r="205" spans="1:20" x14ac:dyDescent="0.2">
      <c r="A205" s="5" t="s">
        <v>443</v>
      </c>
      <c r="B205" s="3">
        <v>46222</v>
      </c>
      <c r="C205" s="21" t="s">
        <v>444</v>
      </c>
      <c r="D205" s="5" t="str" cm="1">
        <f t="array" ref="D205:F205">_xlfn.TEXTSPLIT(TRIM(C205),"-")</f>
        <v>C204</v>
      </c>
      <c r="E205" s="21" t="str">
        <v>Joel</v>
      </c>
      <c r="F205" s="21" t="str">
        <v>Kozhikode</v>
      </c>
      <c r="G205" s="21" t="s">
        <v>31</v>
      </c>
      <c r="H205" s="5" t="str" cm="1">
        <f t="array" ref="H205:I205">_xlfn.TEXTSPLIT(TRIM(G205),"-")</f>
        <v>P106</v>
      </c>
      <c r="I205" s="21" t="str">
        <v>Printer</v>
      </c>
      <c r="J205" s="21" t="s">
        <v>71</v>
      </c>
      <c r="K205" s="4">
        <v>2</v>
      </c>
      <c r="L205" s="31">
        <v>12500</v>
      </c>
      <c r="M205" s="21" t="s">
        <v>13</v>
      </c>
      <c r="N205" s="30" t="s">
        <v>28</v>
      </c>
      <c r="O205" s="21" t="str">
        <f>VLOOKUP(H205,Product_Master!$A:$E,3,FALSE)</f>
        <v>Electronics</v>
      </c>
      <c r="P205" s="21" t="str">
        <f>VLOOKUP(H205,Product_Master!$A:$E,4,FALSE)</f>
        <v>Canon</v>
      </c>
      <c r="Q205" s="5">
        <f>VLOOKUP(H205,Product_Master!$A:$E,5,FALSE)</f>
        <v>0.18</v>
      </c>
      <c r="R205" s="2">
        <f t="shared" si="12"/>
        <v>25000</v>
      </c>
      <c r="S205" s="2">
        <f t="shared" si="13"/>
        <v>4500</v>
      </c>
      <c r="T205" s="2">
        <f t="shared" si="14"/>
        <v>29500</v>
      </c>
    </row>
    <row r="206" spans="1:20" x14ac:dyDescent="0.2">
      <c r="A206" s="5" t="s">
        <v>445</v>
      </c>
      <c r="B206" s="3">
        <v>46226</v>
      </c>
      <c r="C206" s="21" t="s">
        <v>446</v>
      </c>
      <c r="D206" s="5" t="str" cm="1">
        <f t="array" ref="D206:F206">_xlfn.TEXTSPLIT(TRIM(C206),"-")</f>
        <v>C205</v>
      </c>
      <c r="E206" s="21" t="str">
        <v>Fathima</v>
      </c>
      <c r="F206" s="21" t="str">
        <v>Thrissur</v>
      </c>
      <c r="G206" s="21" t="s">
        <v>45</v>
      </c>
      <c r="H206" s="5" t="str" cm="1">
        <f t="array" ref="H206:I206">_xlfn.TEXTSPLIT(TRIM(G206),"-")</f>
        <v>P103</v>
      </c>
      <c r="I206" s="21" t="str">
        <v>Keyboard</v>
      </c>
      <c r="J206" s="21" t="s">
        <v>51</v>
      </c>
      <c r="K206" s="4">
        <v>10</v>
      </c>
      <c r="L206" s="31">
        <v>1200</v>
      </c>
      <c r="M206" s="21" t="s">
        <v>27</v>
      </c>
      <c r="N206" s="30" t="s">
        <v>61</v>
      </c>
      <c r="O206" s="21" t="str">
        <f>VLOOKUP(H206,Product_Master!$A:$E,3,FALSE)</f>
        <v>Accessories</v>
      </c>
      <c r="P206" s="21" t="str">
        <f>VLOOKUP(H206,Product_Master!$A:$E,4,FALSE)</f>
        <v>Logitech</v>
      </c>
      <c r="Q206" s="5">
        <f>VLOOKUP(H206,Product_Master!$A:$E,5,FALSE)</f>
        <v>0.18</v>
      </c>
      <c r="R206" s="2">
        <f t="shared" si="12"/>
        <v>12000</v>
      </c>
      <c r="S206" s="2">
        <f t="shared" si="13"/>
        <v>2160</v>
      </c>
      <c r="T206" s="2">
        <f t="shared" si="14"/>
        <v>14160</v>
      </c>
    </row>
    <row r="207" spans="1:20" x14ac:dyDescent="0.2">
      <c r="A207" s="5" t="s">
        <v>447</v>
      </c>
      <c r="B207" s="3">
        <v>46226</v>
      </c>
      <c r="C207" s="21" t="s">
        <v>448</v>
      </c>
      <c r="D207" s="5" t="str" cm="1">
        <f t="array" ref="D207:F207">_xlfn.TEXTSPLIT(TRIM(C207),"-")</f>
        <v>C206</v>
      </c>
      <c r="E207" s="21" t="str">
        <v>Vishnu</v>
      </c>
      <c r="F207" s="21" t="str">
        <v>Malappuram</v>
      </c>
      <c r="G207" s="21" t="s">
        <v>45</v>
      </c>
      <c r="H207" s="5" t="str" cm="1">
        <f t="array" ref="H207:I207">_xlfn.TEXTSPLIT(TRIM(G207),"-")</f>
        <v>P103</v>
      </c>
      <c r="I207" s="21" t="str">
        <v>Keyboard</v>
      </c>
      <c r="J207" s="21" t="s">
        <v>113</v>
      </c>
      <c r="K207" s="4">
        <v>11</v>
      </c>
      <c r="L207" s="31">
        <v>1200</v>
      </c>
      <c r="M207" s="21" t="s">
        <v>18</v>
      </c>
      <c r="N207" s="30" t="s">
        <v>34</v>
      </c>
      <c r="O207" s="21" t="str">
        <f>VLOOKUP(H207,Product_Master!$A:$E,3,FALSE)</f>
        <v>Accessories</v>
      </c>
      <c r="P207" s="21" t="str">
        <f>VLOOKUP(H207,Product_Master!$A:$E,4,FALSE)</f>
        <v>Logitech</v>
      </c>
      <c r="Q207" s="5">
        <f>VLOOKUP(H207,Product_Master!$A:$E,5,FALSE)</f>
        <v>0.18</v>
      </c>
      <c r="R207" s="2">
        <f t="shared" si="12"/>
        <v>13200</v>
      </c>
      <c r="S207" s="2">
        <f t="shared" si="13"/>
        <v>2376</v>
      </c>
      <c r="T207" s="2">
        <f t="shared" si="14"/>
        <v>15576</v>
      </c>
    </row>
    <row r="208" spans="1:20" x14ac:dyDescent="0.2">
      <c r="A208" s="5" t="s">
        <v>449</v>
      </c>
      <c r="B208" s="3">
        <v>46213</v>
      </c>
      <c r="C208" s="21" t="s">
        <v>450</v>
      </c>
      <c r="D208" s="5" t="str" cm="1">
        <f t="array" ref="D208:F208">_xlfn.TEXTSPLIT(TRIM(C208),"-")</f>
        <v>C207</v>
      </c>
      <c r="E208" s="21" t="str">
        <v>Meera</v>
      </c>
      <c r="F208" s="21" t="str">
        <v>Malappuram</v>
      </c>
      <c r="G208" s="21" t="s">
        <v>11</v>
      </c>
      <c r="H208" s="5" t="str" cm="1">
        <f t="array" ref="H208:I208">_xlfn.TEXTSPLIT(TRIM(G208),"-")</f>
        <v>P101</v>
      </c>
      <c r="I208" s="21" t="str">
        <v>Laptop</v>
      </c>
      <c r="J208" s="21" t="s">
        <v>113</v>
      </c>
      <c r="K208" s="4">
        <v>6</v>
      </c>
      <c r="L208" s="31">
        <v>55000</v>
      </c>
      <c r="M208" s="21" t="s">
        <v>13</v>
      </c>
      <c r="N208" s="30" t="s">
        <v>28</v>
      </c>
      <c r="O208" s="21" t="str">
        <f>VLOOKUP(H208,Product_Master!$A:$E,3,FALSE)</f>
        <v>Electronics</v>
      </c>
      <c r="P208" s="21" t="str">
        <f>VLOOKUP(H208,Product_Master!$A:$E,4,FALSE)</f>
        <v>Dell</v>
      </c>
      <c r="Q208" s="5">
        <f>VLOOKUP(H208,Product_Master!$A:$E,5,FALSE)</f>
        <v>0.18</v>
      </c>
      <c r="R208" s="2">
        <f t="shared" si="12"/>
        <v>330000</v>
      </c>
      <c r="S208" s="2">
        <f t="shared" si="13"/>
        <v>59400</v>
      </c>
      <c r="T208" s="2">
        <f t="shared" si="14"/>
        <v>389400</v>
      </c>
    </row>
    <row r="209" spans="1:20" x14ac:dyDescent="0.2">
      <c r="A209" s="5" t="s">
        <v>451</v>
      </c>
      <c r="B209" s="3">
        <v>46208</v>
      </c>
      <c r="C209" s="21" t="s">
        <v>452</v>
      </c>
      <c r="D209" s="5" t="str" cm="1">
        <f t="array" ref="D209:F209">_xlfn.TEXTSPLIT(TRIM(C209),"-")</f>
        <v>C208</v>
      </c>
      <c r="E209" s="21" t="str">
        <v>Kiran</v>
      </c>
      <c r="F209" s="21" t="str">
        <v>Kannur</v>
      </c>
      <c r="G209" s="21" t="s">
        <v>48</v>
      </c>
      <c r="H209" s="5" t="str" cm="1">
        <f t="array" ref="H209:I209">_xlfn.TEXTSPLIT(TRIM(G209),"-")</f>
        <v>P104</v>
      </c>
      <c r="I209" s="21" t="str">
        <v>Mouse</v>
      </c>
      <c r="J209" s="21" t="s">
        <v>22</v>
      </c>
      <c r="K209" s="4">
        <v>3</v>
      </c>
      <c r="L209" s="31">
        <v>750</v>
      </c>
      <c r="M209" s="21" t="s">
        <v>27</v>
      </c>
      <c r="N209" s="30" t="s">
        <v>19</v>
      </c>
      <c r="O209" s="21" t="str">
        <f>VLOOKUP(H209,Product_Master!$A:$E,3,FALSE)</f>
        <v>Accessories</v>
      </c>
      <c r="P209" s="21" t="str">
        <f>VLOOKUP(H209,Product_Master!$A:$E,4,FALSE)</f>
        <v>HP</v>
      </c>
      <c r="Q209" s="5">
        <f>VLOOKUP(H209,Product_Master!$A:$E,5,FALSE)</f>
        <v>0.18</v>
      </c>
      <c r="R209" s="2">
        <f t="shared" si="12"/>
        <v>2250</v>
      </c>
      <c r="S209" s="2">
        <f t="shared" si="13"/>
        <v>405</v>
      </c>
      <c r="T209" s="2">
        <f t="shared" si="14"/>
        <v>2655</v>
      </c>
    </row>
    <row r="210" spans="1:20" x14ac:dyDescent="0.2">
      <c r="A210" s="5" t="s">
        <v>453</v>
      </c>
      <c r="B210" s="3">
        <v>46208</v>
      </c>
      <c r="C210" s="21" t="s">
        <v>454</v>
      </c>
      <c r="D210" s="5" t="str" cm="1">
        <f t="array" ref="D210:F210">_xlfn.TEXTSPLIT(TRIM(C210),"-")</f>
        <v>C209</v>
      </c>
      <c r="E210" s="21" t="str">
        <v>Meera</v>
      </c>
      <c r="F210" s="21" t="str">
        <v>Kochi</v>
      </c>
      <c r="G210" s="21" t="s">
        <v>31</v>
      </c>
      <c r="H210" s="5" t="str" cm="1">
        <f t="array" ref="H210:I210">_xlfn.TEXTSPLIT(TRIM(G210),"-")</f>
        <v>P106</v>
      </c>
      <c r="I210" s="21" t="str">
        <v>Printer</v>
      </c>
      <c r="J210" s="21" t="s">
        <v>64</v>
      </c>
      <c r="K210" s="4">
        <v>10</v>
      </c>
      <c r="L210" s="31">
        <v>12500</v>
      </c>
      <c r="M210" s="21" t="s">
        <v>23</v>
      </c>
      <c r="N210" s="30" t="s">
        <v>14</v>
      </c>
      <c r="O210" s="21" t="str">
        <f>VLOOKUP(H210,Product_Master!$A:$E,3,FALSE)</f>
        <v>Electronics</v>
      </c>
      <c r="P210" s="21" t="str">
        <f>VLOOKUP(H210,Product_Master!$A:$E,4,FALSE)</f>
        <v>Canon</v>
      </c>
      <c r="Q210" s="5">
        <f>VLOOKUP(H210,Product_Master!$A:$E,5,FALSE)</f>
        <v>0.18</v>
      </c>
      <c r="R210" s="2">
        <f t="shared" si="12"/>
        <v>125000</v>
      </c>
      <c r="S210" s="2">
        <f t="shared" si="13"/>
        <v>22500</v>
      </c>
      <c r="T210" s="2">
        <f t="shared" si="14"/>
        <v>147500</v>
      </c>
    </row>
    <row r="211" spans="1:20" x14ac:dyDescent="0.2">
      <c r="A211" s="5" t="s">
        <v>455</v>
      </c>
      <c r="B211" s="3">
        <v>46218</v>
      </c>
      <c r="C211" s="21" t="s">
        <v>456</v>
      </c>
      <c r="D211" s="5" t="str" cm="1">
        <f t="array" ref="D211:F211">_xlfn.TEXTSPLIT(TRIM(C211),"-")</f>
        <v>C210</v>
      </c>
      <c r="E211" s="21" t="str">
        <v>Neha</v>
      </c>
      <c r="F211" s="21" t="str">
        <v>Kozhikode</v>
      </c>
      <c r="G211" s="21" t="s">
        <v>45</v>
      </c>
      <c r="H211" s="5" t="str" cm="1">
        <f t="array" ref="H211:I211">_xlfn.TEXTSPLIT(TRIM(G211),"-")</f>
        <v>P103</v>
      </c>
      <c r="I211" s="21" t="str">
        <v>Keyboard</v>
      </c>
      <c r="J211" s="21" t="s">
        <v>71</v>
      </c>
      <c r="K211" s="4">
        <v>12</v>
      </c>
      <c r="L211" s="31">
        <v>1200</v>
      </c>
      <c r="M211" s="21" t="s">
        <v>23</v>
      </c>
      <c r="N211" s="30" t="s">
        <v>28</v>
      </c>
      <c r="O211" s="21" t="str">
        <f>VLOOKUP(H211,Product_Master!$A:$E,3,FALSE)</f>
        <v>Accessories</v>
      </c>
      <c r="P211" s="21" t="str">
        <f>VLOOKUP(H211,Product_Master!$A:$E,4,FALSE)</f>
        <v>Logitech</v>
      </c>
      <c r="Q211" s="5">
        <f>VLOOKUP(H211,Product_Master!$A:$E,5,FALSE)</f>
        <v>0.18</v>
      </c>
      <c r="R211" s="2">
        <f t="shared" si="12"/>
        <v>14400</v>
      </c>
      <c r="S211" s="2">
        <f t="shared" si="13"/>
        <v>2592</v>
      </c>
      <c r="T211" s="2">
        <f t="shared" si="14"/>
        <v>16992</v>
      </c>
    </row>
    <row r="212" spans="1:20" x14ac:dyDescent="0.2">
      <c r="A212" s="5" t="s">
        <v>457</v>
      </c>
      <c r="B212" s="3">
        <v>46213</v>
      </c>
      <c r="C212" s="21" t="s">
        <v>458</v>
      </c>
      <c r="D212" s="5" t="str" cm="1">
        <f t="array" ref="D212:F212">_xlfn.TEXTSPLIT(TRIM(C212),"-")</f>
        <v>C211</v>
      </c>
      <c r="E212" s="21" t="str">
        <v>Farhan</v>
      </c>
      <c r="F212" s="21" t="str">
        <v>Kannur</v>
      </c>
      <c r="G212" s="21" t="s">
        <v>88</v>
      </c>
      <c r="H212" s="5" t="str" cm="1">
        <f t="array" ref="H212:I212">_xlfn.TEXTSPLIT(TRIM(G212),"-")</f>
        <v>P108</v>
      </c>
      <c r="I212" s="21" t="str">
        <v>SSD</v>
      </c>
      <c r="J212" s="21" t="s">
        <v>22</v>
      </c>
      <c r="K212" s="4">
        <v>10</v>
      </c>
      <c r="L212" s="31">
        <v>6500</v>
      </c>
      <c r="M212" s="21" t="s">
        <v>23</v>
      </c>
      <c r="N212" s="30" t="s">
        <v>14</v>
      </c>
      <c r="O212" s="21" t="str">
        <f>VLOOKUP(H212,Product_Master!$A:$E,3,FALSE)</f>
        <v>Storage</v>
      </c>
      <c r="P212" s="21" t="str">
        <f>VLOOKUP(H212,Product_Master!$A:$E,4,FALSE)</f>
        <v>Samsung</v>
      </c>
      <c r="Q212" s="5">
        <f>VLOOKUP(H212,Product_Master!$A:$E,5,FALSE)</f>
        <v>0.18</v>
      </c>
      <c r="R212" s="2">
        <f t="shared" si="12"/>
        <v>65000</v>
      </c>
      <c r="S212" s="2">
        <f t="shared" si="13"/>
        <v>11700</v>
      </c>
      <c r="T212" s="2">
        <f t="shared" si="14"/>
        <v>76700</v>
      </c>
    </row>
    <row r="213" spans="1:20" x14ac:dyDescent="0.2">
      <c r="A213" s="5" t="s">
        <v>459</v>
      </c>
      <c r="B213" s="3">
        <v>46232</v>
      </c>
      <c r="C213" s="21" t="s">
        <v>460</v>
      </c>
      <c r="D213" s="5" t="str" cm="1">
        <f t="array" ref="D213:F213">_xlfn.TEXTSPLIT(TRIM(C213),"-")</f>
        <v>C212</v>
      </c>
      <c r="E213" s="21" t="str">
        <v>Ravi</v>
      </c>
      <c r="F213" s="21" t="str">
        <v>Kannur</v>
      </c>
      <c r="G213" s="21" t="s">
        <v>140</v>
      </c>
      <c r="H213" s="5" t="str" cm="1">
        <f t="array" ref="H213:I213">_xlfn.TEXTSPLIT(TRIM(G213),"-")</f>
        <v>P105</v>
      </c>
      <c r="I213" s="21" t="str">
        <v>Headphones</v>
      </c>
      <c r="J213" s="21" t="s">
        <v>22</v>
      </c>
      <c r="K213" s="4">
        <v>8</v>
      </c>
      <c r="L213" s="31">
        <v>2500</v>
      </c>
      <c r="M213" s="21" t="s">
        <v>27</v>
      </c>
      <c r="N213" s="30" t="s">
        <v>61</v>
      </c>
      <c r="O213" s="21" t="str">
        <f>VLOOKUP(H213,Product_Master!$A:$E,3,FALSE)</f>
        <v>Accessories</v>
      </c>
      <c r="P213" s="21" t="str">
        <f>VLOOKUP(H213,Product_Master!$A:$E,4,FALSE)</f>
        <v>Sony</v>
      </c>
      <c r="Q213" s="5">
        <f>VLOOKUP(H213,Product_Master!$A:$E,5,FALSE)</f>
        <v>0.18</v>
      </c>
      <c r="R213" s="2">
        <f t="shared" si="12"/>
        <v>20000</v>
      </c>
      <c r="S213" s="2">
        <f t="shared" si="13"/>
        <v>3600</v>
      </c>
      <c r="T213" s="2">
        <f t="shared" si="14"/>
        <v>23600</v>
      </c>
    </row>
    <row r="214" spans="1:20" x14ac:dyDescent="0.2">
      <c r="A214" s="5" t="s">
        <v>461</v>
      </c>
      <c r="B214" s="3">
        <v>46220</v>
      </c>
      <c r="C214" s="21" t="s">
        <v>462</v>
      </c>
      <c r="D214" s="5" t="str" cm="1">
        <f t="array" ref="D214:F214">_xlfn.TEXTSPLIT(TRIM(C214),"-")</f>
        <v>C213</v>
      </c>
      <c r="E214" s="21" t="str">
        <v>Lakshmi</v>
      </c>
      <c r="F214" s="21" t="str">
        <v>Alappuzha</v>
      </c>
      <c r="G214" s="21" t="s">
        <v>39</v>
      </c>
      <c r="H214" s="5" t="str" cm="1">
        <f t="array" ref="H214:I214">_xlfn.TEXTSPLIT(TRIM(G214),"-")</f>
        <v>P105</v>
      </c>
      <c r="I214" s="21" t="str">
        <v>Headphones</v>
      </c>
      <c r="J214" s="21" t="s">
        <v>42</v>
      </c>
      <c r="K214" s="4">
        <v>7</v>
      </c>
      <c r="L214" s="31">
        <v>2500</v>
      </c>
      <c r="M214" s="21" t="s">
        <v>23</v>
      </c>
      <c r="N214" s="30" t="s">
        <v>14</v>
      </c>
      <c r="O214" s="21" t="str">
        <f>VLOOKUP(H214,Product_Master!$A:$E,3,FALSE)</f>
        <v>Accessories</v>
      </c>
      <c r="P214" s="21" t="str">
        <f>VLOOKUP(H214,Product_Master!$A:$E,4,FALSE)</f>
        <v>Sony</v>
      </c>
      <c r="Q214" s="5">
        <f>VLOOKUP(H214,Product_Master!$A:$E,5,FALSE)</f>
        <v>0.18</v>
      </c>
      <c r="R214" s="2">
        <f t="shared" si="12"/>
        <v>17500</v>
      </c>
      <c r="S214" s="2">
        <f t="shared" si="13"/>
        <v>3150</v>
      </c>
      <c r="T214" s="2">
        <f t="shared" si="14"/>
        <v>20650</v>
      </c>
    </row>
    <row r="215" spans="1:20" x14ac:dyDescent="0.2">
      <c r="A215" s="5" t="s">
        <v>463</v>
      </c>
      <c r="B215" s="3">
        <v>46224</v>
      </c>
      <c r="C215" s="21" t="s">
        <v>464</v>
      </c>
      <c r="D215" s="5" t="str" cm="1">
        <f t="array" ref="D215:F215">_xlfn.TEXTSPLIT(TRIM(C215),"-")</f>
        <v>C214</v>
      </c>
      <c r="E215" s="21" t="str">
        <v>Arjun</v>
      </c>
      <c r="F215" s="21" t="str">
        <v>Kozhikode</v>
      </c>
      <c r="G215" s="21" t="s">
        <v>39</v>
      </c>
      <c r="H215" s="5" t="str" cm="1">
        <f t="array" ref="H215:I215">_xlfn.TEXTSPLIT(TRIM(G215),"-")</f>
        <v>P105</v>
      </c>
      <c r="I215" s="21" t="str">
        <v>Headphones</v>
      </c>
      <c r="J215" s="21" t="s">
        <v>71</v>
      </c>
      <c r="K215" s="4">
        <v>1</v>
      </c>
      <c r="L215" s="31">
        <v>2500</v>
      </c>
      <c r="M215" s="21" t="s">
        <v>27</v>
      </c>
      <c r="N215" s="30" t="s">
        <v>61</v>
      </c>
      <c r="O215" s="21" t="str">
        <f>VLOOKUP(H215,Product_Master!$A:$E,3,FALSE)</f>
        <v>Accessories</v>
      </c>
      <c r="P215" s="21" t="str">
        <f>VLOOKUP(H215,Product_Master!$A:$E,4,FALSE)</f>
        <v>Sony</v>
      </c>
      <c r="Q215" s="5">
        <f>VLOOKUP(H215,Product_Master!$A:$E,5,FALSE)</f>
        <v>0.18</v>
      </c>
      <c r="R215" s="2">
        <f t="shared" si="12"/>
        <v>2500</v>
      </c>
      <c r="S215" s="2">
        <f t="shared" si="13"/>
        <v>450</v>
      </c>
      <c r="T215" s="2">
        <f t="shared" si="14"/>
        <v>2950</v>
      </c>
    </row>
    <row r="216" spans="1:20" x14ac:dyDescent="0.2">
      <c r="A216" s="5" t="s">
        <v>465</v>
      </c>
      <c r="B216" s="3">
        <v>46228</v>
      </c>
      <c r="C216" s="21" t="s">
        <v>466</v>
      </c>
      <c r="D216" s="5" t="str" cm="1">
        <f t="array" ref="D216:F216">_xlfn.TEXTSPLIT(TRIM(C216),"-")</f>
        <v>C215</v>
      </c>
      <c r="E216" s="21" t="str">
        <v>Priya</v>
      </c>
      <c r="F216" s="21" t="str">
        <v>Trivandrum</v>
      </c>
      <c r="G216" s="21" t="s">
        <v>39</v>
      </c>
      <c r="H216" s="5" t="str" cm="1">
        <f t="array" ref="H216:I216">_xlfn.TEXTSPLIT(TRIM(G216),"-")</f>
        <v>P105</v>
      </c>
      <c r="I216" s="21" t="str">
        <v>Headphones</v>
      </c>
      <c r="J216" s="21" t="s">
        <v>12</v>
      </c>
      <c r="K216" s="4">
        <v>2</v>
      </c>
      <c r="L216" s="31">
        <v>2500</v>
      </c>
      <c r="M216" s="21" t="s">
        <v>27</v>
      </c>
      <c r="N216" s="30" t="s">
        <v>34</v>
      </c>
      <c r="O216" s="21" t="str">
        <f>VLOOKUP(H216,Product_Master!$A:$E,3,FALSE)</f>
        <v>Accessories</v>
      </c>
      <c r="P216" s="21" t="str">
        <f>VLOOKUP(H216,Product_Master!$A:$E,4,FALSE)</f>
        <v>Sony</v>
      </c>
      <c r="Q216" s="5">
        <f>VLOOKUP(H216,Product_Master!$A:$E,5,FALSE)</f>
        <v>0.18</v>
      </c>
      <c r="R216" s="2">
        <f t="shared" si="12"/>
        <v>5000</v>
      </c>
      <c r="S216" s="2">
        <f t="shared" si="13"/>
        <v>900</v>
      </c>
      <c r="T216" s="2">
        <f t="shared" si="14"/>
        <v>5900</v>
      </c>
    </row>
    <row r="217" spans="1:20" x14ac:dyDescent="0.2">
      <c r="A217" s="5" t="s">
        <v>467</v>
      </c>
      <c r="B217" s="3">
        <v>46234</v>
      </c>
      <c r="C217" s="21" t="s">
        <v>468</v>
      </c>
      <c r="D217" s="5" t="str" cm="1">
        <f t="array" ref="D217:F217">_xlfn.TEXTSPLIT(TRIM(C217),"-")</f>
        <v>C216</v>
      </c>
      <c r="E217" s="21" t="str">
        <v>Meera</v>
      </c>
      <c r="F217" s="21" t="str">
        <v>Kozhikode</v>
      </c>
      <c r="G217" s="21" t="s">
        <v>54</v>
      </c>
      <c r="H217" s="5" t="str" cm="1">
        <f t="array" ref="H217:I217">_xlfn.TEXTSPLIT(TRIM(G217),"-")</f>
        <v>P107</v>
      </c>
      <c r="I217" s="21" t="str">
        <v>Webcam</v>
      </c>
      <c r="J217" s="21" t="s">
        <v>71</v>
      </c>
      <c r="K217" s="4">
        <v>2</v>
      </c>
      <c r="L217" s="31">
        <v>3500</v>
      </c>
      <c r="M217" s="21" t="s">
        <v>23</v>
      </c>
      <c r="N217" s="30" t="s">
        <v>28</v>
      </c>
      <c r="O217" s="21" t="str">
        <f>VLOOKUP(H217,Product_Master!$A:$E,3,FALSE)</f>
        <v>Electronics</v>
      </c>
      <c r="P217" s="21" t="str">
        <f>VLOOKUP(H217,Product_Master!$A:$E,4,FALSE)</f>
        <v>Logitech</v>
      </c>
      <c r="Q217" s="5">
        <f>VLOOKUP(H217,Product_Master!$A:$E,5,FALSE)</f>
        <v>0.18</v>
      </c>
      <c r="R217" s="2">
        <f t="shared" si="12"/>
        <v>7000</v>
      </c>
      <c r="S217" s="2">
        <f t="shared" si="13"/>
        <v>1260</v>
      </c>
      <c r="T217" s="2">
        <f t="shared" si="14"/>
        <v>8260</v>
      </c>
    </row>
    <row r="218" spans="1:20" x14ac:dyDescent="0.2">
      <c r="A218" s="5" t="s">
        <v>469</v>
      </c>
      <c r="B218" s="3">
        <v>46220</v>
      </c>
      <c r="C218" s="21" t="s">
        <v>470</v>
      </c>
      <c r="D218" s="5" t="str" cm="1">
        <f t="array" ref="D218:F218">_xlfn.TEXTSPLIT(TRIM(C218),"-")</f>
        <v>C217</v>
      </c>
      <c r="E218" s="21" t="str">
        <v>Rahul</v>
      </c>
      <c r="F218" s="21" t="str">
        <v>Thrissur</v>
      </c>
      <c r="G218" s="21" t="s">
        <v>11</v>
      </c>
      <c r="H218" s="5" t="str" cm="1">
        <f t="array" ref="H218:I218">_xlfn.TEXTSPLIT(TRIM(G218),"-")</f>
        <v>P101</v>
      </c>
      <c r="I218" s="21" t="str">
        <v>Laptop</v>
      </c>
      <c r="J218" s="21" t="s">
        <v>51</v>
      </c>
      <c r="K218" s="4">
        <v>7</v>
      </c>
      <c r="L218" s="31">
        <v>55000</v>
      </c>
      <c r="M218" s="21" t="s">
        <v>13</v>
      </c>
      <c r="N218" s="30" t="s">
        <v>34</v>
      </c>
      <c r="O218" s="21" t="str">
        <f>VLOOKUP(H218,Product_Master!$A:$E,3,FALSE)</f>
        <v>Electronics</v>
      </c>
      <c r="P218" s="21" t="str">
        <f>VLOOKUP(H218,Product_Master!$A:$E,4,FALSE)</f>
        <v>Dell</v>
      </c>
      <c r="Q218" s="5">
        <f>VLOOKUP(H218,Product_Master!$A:$E,5,FALSE)</f>
        <v>0.18</v>
      </c>
      <c r="R218" s="2">
        <f t="shared" si="12"/>
        <v>385000</v>
      </c>
      <c r="S218" s="2">
        <f t="shared" si="13"/>
        <v>69300</v>
      </c>
      <c r="T218" s="2">
        <f t="shared" si="14"/>
        <v>454300</v>
      </c>
    </row>
    <row r="219" spans="1:20" x14ac:dyDescent="0.2">
      <c r="A219" s="5" t="s">
        <v>471</v>
      </c>
      <c r="B219" s="3">
        <v>46214</v>
      </c>
      <c r="C219" s="21" t="s">
        <v>472</v>
      </c>
      <c r="D219" s="5" t="str" cm="1">
        <f t="array" ref="D219:F219">_xlfn.TEXTSPLIT(TRIM(C219),"-")</f>
        <v>C218</v>
      </c>
      <c r="E219" s="21" t="str">
        <v>Mohammed</v>
      </c>
      <c r="F219" s="21" t="str">
        <v>Malappuram</v>
      </c>
      <c r="G219" s="21" t="s">
        <v>48</v>
      </c>
      <c r="H219" s="5" t="str" cm="1">
        <f t="array" ref="H219:I219">_xlfn.TEXTSPLIT(TRIM(G219),"-")</f>
        <v>P104</v>
      </c>
      <c r="I219" s="21" t="str">
        <v>Mouse</v>
      </c>
      <c r="J219" s="21" t="s">
        <v>113</v>
      </c>
      <c r="K219" s="4">
        <v>1</v>
      </c>
      <c r="L219" s="31">
        <v>750</v>
      </c>
      <c r="M219" s="21" t="s">
        <v>27</v>
      </c>
      <c r="N219" s="30" t="s">
        <v>14</v>
      </c>
      <c r="O219" s="21" t="str">
        <f>VLOOKUP(H219,Product_Master!$A:$E,3,FALSE)</f>
        <v>Accessories</v>
      </c>
      <c r="P219" s="21" t="str">
        <f>VLOOKUP(H219,Product_Master!$A:$E,4,FALSE)</f>
        <v>HP</v>
      </c>
      <c r="Q219" s="5">
        <f>VLOOKUP(H219,Product_Master!$A:$E,5,FALSE)</f>
        <v>0.18</v>
      </c>
      <c r="R219" s="2">
        <f t="shared" si="12"/>
        <v>750</v>
      </c>
      <c r="S219" s="2">
        <f t="shared" si="13"/>
        <v>135</v>
      </c>
      <c r="T219" s="2">
        <f t="shared" si="14"/>
        <v>885</v>
      </c>
    </row>
    <row r="220" spans="1:20" x14ac:dyDescent="0.2">
      <c r="A220" s="5" t="s">
        <v>473</v>
      </c>
      <c r="B220" s="3">
        <v>46226</v>
      </c>
      <c r="C220" s="21" t="s">
        <v>474</v>
      </c>
      <c r="D220" s="5" t="str" cm="1">
        <f t="array" ref="D220:F220">_xlfn.TEXTSPLIT(TRIM(C220),"-")</f>
        <v>C219</v>
      </c>
      <c r="E220" s="21" t="str">
        <v>Akhil</v>
      </c>
      <c r="F220" s="21" t="str">
        <v>Kochi</v>
      </c>
      <c r="G220" s="21" t="s">
        <v>39</v>
      </c>
      <c r="H220" s="5" t="str" cm="1">
        <f t="array" ref="H220:I220">_xlfn.TEXTSPLIT(TRIM(G220),"-")</f>
        <v>P105</v>
      </c>
      <c r="I220" s="21" t="str">
        <v>Headphones</v>
      </c>
      <c r="J220" s="21" t="s">
        <v>64</v>
      </c>
      <c r="K220" s="4">
        <v>8</v>
      </c>
      <c r="L220" s="31">
        <v>2500</v>
      </c>
      <c r="M220" s="21" t="s">
        <v>23</v>
      </c>
      <c r="N220" s="30" t="s">
        <v>34</v>
      </c>
      <c r="O220" s="21" t="str">
        <f>VLOOKUP(H220,Product_Master!$A:$E,3,FALSE)</f>
        <v>Accessories</v>
      </c>
      <c r="P220" s="21" t="str">
        <f>VLOOKUP(H220,Product_Master!$A:$E,4,FALSE)</f>
        <v>Sony</v>
      </c>
      <c r="Q220" s="5">
        <f>VLOOKUP(H220,Product_Master!$A:$E,5,FALSE)</f>
        <v>0.18</v>
      </c>
      <c r="R220" s="2">
        <f t="shared" si="12"/>
        <v>20000</v>
      </c>
      <c r="S220" s="2">
        <f t="shared" si="13"/>
        <v>3600</v>
      </c>
      <c r="T220" s="2">
        <f t="shared" si="14"/>
        <v>23600</v>
      </c>
    </row>
    <row r="221" spans="1:20" x14ac:dyDescent="0.2">
      <c r="A221" s="5" t="s">
        <v>475</v>
      </c>
      <c r="B221" s="3">
        <v>46212</v>
      </c>
      <c r="C221" s="21" t="s">
        <v>476</v>
      </c>
      <c r="D221" s="5" t="str" cm="1">
        <f t="array" ref="D221:F221">_xlfn.TEXTSPLIT(TRIM(C221),"-")</f>
        <v>C220</v>
      </c>
      <c r="E221" s="21" t="str">
        <v>Adithya</v>
      </c>
      <c r="F221" s="21" t="str">
        <v>Kochi</v>
      </c>
      <c r="G221" s="21" t="s">
        <v>17</v>
      </c>
      <c r="H221" s="5" t="str" cm="1">
        <f t="array" ref="H221:I221">_xlfn.TEXTSPLIT(TRIM(G221),"-")</f>
        <v>P102</v>
      </c>
      <c r="I221" s="21" t="str">
        <v>Monitor</v>
      </c>
      <c r="J221" s="21" t="s">
        <v>64</v>
      </c>
      <c r="K221" s="4">
        <v>1</v>
      </c>
      <c r="L221" s="31">
        <v>15000</v>
      </c>
      <c r="M221" s="21" t="s">
        <v>13</v>
      </c>
      <c r="N221" s="30" t="s">
        <v>61</v>
      </c>
      <c r="O221" s="21" t="str">
        <f>VLOOKUP(H221,Product_Master!$A:$E,3,FALSE)</f>
        <v>Electronics</v>
      </c>
      <c r="P221" s="21" t="str">
        <f>VLOOKUP(H221,Product_Master!$A:$E,4,FALSE)</f>
        <v>LG</v>
      </c>
      <c r="Q221" s="5">
        <f>VLOOKUP(H221,Product_Master!$A:$E,5,FALSE)</f>
        <v>0.18</v>
      </c>
      <c r="R221" s="2">
        <f t="shared" si="12"/>
        <v>15000</v>
      </c>
      <c r="S221" s="2">
        <f t="shared" si="13"/>
        <v>2700</v>
      </c>
      <c r="T221" s="2">
        <f t="shared" si="14"/>
        <v>17700</v>
      </c>
    </row>
    <row r="222" spans="1:20" x14ac:dyDescent="0.2">
      <c r="A222" s="5" t="s">
        <v>477</v>
      </c>
      <c r="B222" s="3">
        <v>46211</v>
      </c>
      <c r="C222" s="21" t="s">
        <v>478</v>
      </c>
      <c r="D222" s="5" t="str" cm="1">
        <f t="array" ref="D222:F222">_xlfn.TEXTSPLIT(TRIM(C222),"-")</f>
        <v>C221</v>
      </c>
      <c r="E222" s="21" t="str">
        <v>Joel</v>
      </c>
      <c r="F222" s="21" t="str">
        <v>Thrissur</v>
      </c>
      <c r="G222" s="21" t="s">
        <v>17</v>
      </c>
      <c r="H222" s="5" t="str" cm="1">
        <f t="array" ref="H222:I222">_xlfn.TEXTSPLIT(TRIM(G222),"-")</f>
        <v>P102</v>
      </c>
      <c r="I222" s="21" t="str">
        <v>Monitor</v>
      </c>
      <c r="J222" s="21" t="s">
        <v>51</v>
      </c>
      <c r="K222" s="4">
        <v>5</v>
      </c>
      <c r="L222" s="31">
        <v>15000</v>
      </c>
      <c r="M222" s="21" t="s">
        <v>18</v>
      </c>
      <c r="N222" s="30" t="s">
        <v>19</v>
      </c>
      <c r="O222" s="21" t="str">
        <f>VLOOKUP(H222,Product_Master!$A:$E,3,FALSE)</f>
        <v>Electronics</v>
      </c>
      <c r="P222" s="21" t="str">
        <f>VLOOKUP(H222,Product_Master!$A:$E,4,FALSE)</f>
        <v>LG</v>
      </c>
      <c r="Q222" s="5">
        <f>VLOOKUP(H222,Product_Master!$A:$E,5,FALSE)</f>
        <v>0.18</v>
      </c>
      <c r="R222" s="2">
        <f t="shared" si="12"/>
        <v>75000</v>
      </c>
      <c r="S222" s="2">
        <f t="shared" si="13"/>
        <v>13500</v>
      </c>
      <c r="T222" s="2">
        <f t="shared" si="14"/>
        <v>88500</v>
      </c>
    </row>
    <row r="223" spans="1:20" x14ac:dyDescent="0.2">
      <c r="A223" s="5" t="s">
        <v>479</v>
      </c>
      <c r="B223" s="3">
        <v>46207</v>
      </c>
      <c r="C223" s="21" t="s">
        <v>480</v>
      </c>
      <c r="D223" s="5" t="str" cm="1">
        <f t="array" ref="D223:F223">_xlfn.TEXTSPLIT(TRIM(C223),"-")</f>
        <v>C222</v>
      </c>
      <c r="E223" s="21" t="str">
        <v>Divya</v>
      </c>
      <c r="F223" s="21" t="str">
        <v>Thrissur</v>
      </c>
      <c r="G223" s="21" t="s">
        <v>88</v>
      </c>
      <c r="H223" s="5" t="str" cm="1">
        <f t="array" ref="H223:I223">_xlfn.TEXTSPLIT(TRIM(G223),"-")</f>
        <v>P108</v>
      </c>
      <c r="I223" s="21" t="str">
        <v>SSD</v>
      </c>
      <c r="J223" s="21" t="s">
        <v>51</v>
      </c>
      <c r="K223" s="4">
        <v>2</v>
      </c>
      <c r="L223" s="31">
        <v>6500</v>
      </c>
      <c r="M223" s="21" t="s">
        <v>18</v>
      </c>
      <c r="N223" s="30" t="s">
        <v>61</v>
      </c>
      <c r="O223" s="21" t="str">
        <f>VLOOKUP(H223,Product_Master!$A:$E,3,FALSE)</f>
        <v>Storage</v>
      </c>
      <c r="P223" s="21" t="str">
        <f>VLOOKUP(H223,Product_Master!$A:$E,4,FALSE)</f>
        <v>Samsung</v>
      </c>
      <c r="Q223" s="5">
        <f>VLOOKUP(H223,Product_Master!$A:$E,5,FALSE)</f>
        <v>0.18</v>
      </c>
      <c r="R223" s="2">
        <f t="shared" si="12"/>
        <v>13000</v>
      </c>
      <c r="S223" s="2">
        <f t="shared" si="13"/>
        <v>2340</v>
      </c>
      <c r="T223" s="2">
        <f t="shared" si="14"/>
        <v>15340</v>
      </c>
    </row>
    <row r="224" spans="1:20" x14ac:dyDescent="0.2">
      <c r="A224" s="5" t="s">
        <v>481</v>
      </c>
      <c r="B224" s="3">
        <v>46217</v>
      </c>
      <c r="C224" s="21" t="s">
        <v>482</v>
      </c>
      <c r="D224" s="5" t="str" cm="1">
        <f t="array" ref="D224:F224">_xlfn.TEXTSPLIT(TRIM(C224),"-")</f>
        <v>C223</v>
      </c>
      <c r="E224" s="21" t="str">
        <v>Asha</v>
      </c>
      <c r="F224" s="21" t="str">
        <v>Kannur</v>
      </c>
      <c r="G224" s="21" t="s">
        <v>45</v>
      </c>
      <c r="H224" s="5" t="str" cm="1">
        <f t="array" ref="H224:I224">_xlfn.TEXTSPLIT(TRIM(G224),"-")</f>
        <v>P103</v>
      </c>
      <c r="I224" s="21" t="str">
        <v>Keyboard</v>
      </c>
      <c r="J224" s="21" t="s">
        <v>22</v>
      </c>
      <c r="K224" s="4">
        <v>5</v>
      </c>
      <c r="L224" s="31">
        <v>1200</v>
      </c>
      <c r="M224" s="21" t="s">
        <v>27</v>
      </c>
      <c r="N224" s="30" t="s">
        <v>14</v>
      </c>
      <c r="O224" s="21" t="str">
        <f>VLOOKUP(H224,Product_Master!$A:$E,3,FALSE)</f>
        <v>Accessories</v>
      </c>
      <c r="P224" s="21" t="str">
        <f>VLOOKUP(H224,Product_Master!$A:$E,4,FALSE)</f>
        <v>Logitech</v>
      </c>
      <c r="Q224" s="5">
        <f>VLOOKUP(H224,Product_Master!$A:$E,5,FALSE)</f>
        <v>0.18</v>
      </c>
      <c r="R224" s="2">
        <f t="shared" si="12"/>
        <v>6000</v>
      </c>
      <c r="S224" s="2">
        <f t="shared" si="13"/>
        <v>1080</v>
      </c>
      <c r="T224" s="2">
        <f t="shared" si="14"/>
        <v>7080</v>
      </c>
    </row>
    <row r="225" spans="1:20" x14ac:dyDescent="0.2">
      <c r="A225" s="5" t="s">
        <v>483</v>
      </c>
      <c r="B225" s="3">
        <v>46225</v>
      </c>
      <c r="C225" s="21" t="s">
        <v>484</v>
      </c>
      <c r="D225" s="5" t="str" cm="1">
        <f t="array" ref="D225:F225">_xlfn.TEXTSPLIT(TRIM(C225),"-")</f>
        <v>C224</v>
      </c>
      <c r="E225" s="21" t="str">
        <v>Asha</v>
      </c>
      <c r="F225" s="21" t="str">
        <v>Thrissur</v>
      </c>
      <c r="G225" s="21" t="s">
        <v>45</v>
      </c>
      <c r="H225" s="5" t="str" cm="1">
        <f t="array" ref="H225:I225">_xlfn.TEXTSPLIT(TRIM(G225),"-")</f>
        <v>P103</v>
      </c>
      <c r="I225" s="21" t="str">
        <v>Keyboard</v>
      </c>
      <c r="J225" s="21" t="s">
        <v>51</v>
      </c>
      <c r="K225" s="4">
        <v>11</v>
      </c>
      <c r="L225" s="31">
        <v>1200</v>
      </c>
      <c r="M225" s="21" t="s">
        <v>27</v>
      </c>
      <c r="N225" s="30" t="s">
        <v>19</v>
      </c>
      <c r="O225" s="21" t="str">
        <f>VLOOKUP(H225,Product_Master!$A:$E,3,FALSE)</f>
        <v>Accessories</v>
      </c>
      <c r="P225" s="21" t="str">
        <f>VLOOKUP(H225,Product_Master!$A:$E,4,FALSE)</f>
        <v>Logitech</v>
      </c>
      <c r="Q225" s="5">
        <f>VLOOKUP(H225,Product_Master!$A:$E,5,FALSE)</f>
        <v>0.18</v>
      </c>
      <c r="R225" s="2">
        <f t="shared" si="12"/>
        <v>13200</v>
      </c>
      <c r="S225" s="2">
        <f t="shared" si="13"/>
        <v>2376</v>
      </c>
      <c r="T225" s="2">
        <f t="shared" si="14"/>
        <v>15576</v>
      </c>
    </row>
    <row r="226" spans="1:20" x14ac:dyDescent="0.2">
      <c r="A226" s="5" t="s">
        <v>485</v>
      </c>
      <c r="B226" s="3">
        <v>46205</v>
      </c>
      <c r="C226" s="21" t="s">
        <v>486</v>
      </c>
      <c r="D226" s="5" t="str" cm="1">
        <f t="array" ref="D226:F226">_xlfn.TEXTSPLIT(TRIM(C226),"-")</f>
        <v>C225</v>
      </c>
      <c r="E226" s="21" t="str">
        <v>Meera</v>
      </c>
      <c r="F226" s="21" t="str">
        <v>Kochi</v>
      </c>
      <c r="G226" s="21" t="s">
        <v>54</v>
      </c>
      <c r="H226" s="5" t="str" cm="1">
        <f t="array" ref="H226:I226">_xlfn.TEXTSPLIT(TRIM(G226),"-")</f>
        <v>P107</v>
      </c>
      <c r="I226" s="21" t="str">
        <v>Webcam</v>
      </c>
      <c r="J226" s="21" t="s">
        <v>64</v>
      </c>
      <c r="K226" s="4">
        <v>8</v>
      </c>
      <c r="L226" s="31">
        <v>3500</v>
      </c>
      <c r="M226" s="21" t="s">
        <v>23</v>
      </c>
      <c r="N226" s="30" t="s">
        <v>28</v>
      </c>
      <c r="O226" s="21" t="str">
        <f>VLOOKUP(H226,Product_Master!$A:$E,3,FALSE)</f>
        <v>Electronics</v>
      </c>
      <c r="P226" s="21" t="str">
        <f>VLOOKUP(H226,Product_Master!$A:$E,4,FALSE)</f>
        <v>Logitech</v>
      </c>
      <c r="Q226" s="5">
        <f>VLOOKUP(H226,Product_Master!$A:$E,5,FALSE)</f>
        <v>0.18</v>
      </c>
      <c r="R226" s="2">
        <f t="shared" si="12"/>
        <v>28000</v>
      </c>
      <c r="S226" s="2">
        <f t="shared" si="13"/>
        <v>5040</v>
      </c>
      <c r="T226" s="2">
        <f t="shared" si="14"/>
        <v>33040</v>
      </c>
    </row>
    <row r="227" spans="1:20" x14ac:dyDescent="0.2">
      <c r="A227" s="5" t="s">
        <v>487</v>
      </c>
      <c r="B227" s="3">
        <v>46215</v>
      </c>
      <c r="C227" s="21" t="s">
        <v>488</v>
      </c>
      <c r="D227" s="5" t="str" cm="1">
        <f t="array" ref="D227:F227">_xlfn.TEXTSPLIT(TRIM(C227),"-")</f>
        <v>C226</v>
      </c>
      <c r="E227" s="21" t="str">
        <v>Sanjay</v>
      </c>
      <c r="F227" s="21" t="str">
        <v>Kochi</v>
      </c>
      <c r="G227" s="21" t="s">
        <v>31</v>
      </c>
      <c r="H227" s="5" t="str" cm="1">
        <f t="array" ref="H227:I227">_xlfn.TEXTSPLIT(TRIM(G227),"-")</f>
        <v>P106</v>
      </c>
      <c r="I227" s="21" t="str">
        <v>Printer</v>
      </c>
      <c r="J227" s="21" t="s">
        <v>64</v>
      </c>
      <c r="K227" s="4">
        <v>2</v>
      </c>
      <c r="L227" s="31">
        <v>12500</v>
      </c>
      <c r="M227" s="21" t="s">
        <v>18</v>
      </c>
      <c r="N227" s="30" t="s">
        <v>61</v>
      </c>
      <c r="O227" s="21" t="str">
        <f>VLOOKUP(H227,Product_Master!$A:$E,3,FALSE)</f>
        <v>Electronics</v>
      </c>
      <c r="P227" s="21" t="str">
        <f>VLOOKUP(H227,Product_Master!$A:$E,4,FALSE)</f>
        <v>Canon</v>
      </c>
      <c r="Q227" s="5">
        <f>VLOOKUP(H227,Product_Master!$A:$E,5,FALSE)</f>
        <v>0.18</v>
      </c>
      <c r="R227" s="2">
        <f t="shared" si="12"/>
        <v>25000</v>
      </c>
      <c r="S227" s="2">
        <f t="shared" si="13"/>
        <v>4500</v>
      </c>
      <c r="T227" s="2">
        <f t="shared" si="14"/>
        <v>29500</v>
      </c>
    </row>
    <row r="228" spans="1:20" x14ac:dyDescent="0.2">
      <c r="A228" s="5" t="s">
        <v>489</v>
      </c>
      <c r="B228" s="3">
        <v>46215</v>
      </c>
      <c r="C228" s="21" t="s">
        <v>490</v>
      </c>
      <c r="D228" s="5" t="str" cm="1">
        <f t="array" ref="D228:F228">_xlfn.TEXTSPLIT(TRIM(C228),"-")</f>
        <v>C227</v>
      </c>
      <c r="E228" s="21" t="str">
        <v>Joel</v>
      </c>
      <c r="F228" s="21" t="str">
        <v>Malappuram</v>
      </c>
      <c r="G228" s="21" t="s">
        <v>45</v>
      </c>
      <c r="H228" s="5" t="str" cm="1">
        <f t="array" ref="H228:I228">_xlfn.TEXTSPLIT(TRIM(G228),"-")</f>
        <v>P103</v>
      </c>
      <c r="I228" s="21" t="str">
        <v>Keyboard</v>
      </c>
      <c r="J228" s="21" t="s">
        <v>113</v>
      </c>
      <c r="K228" s="4">
        <v>1</v>
      </c>
      <c r="L228" s="31">
        <v>1200</v>
      </c>
      <c r="M228" s="21" t="s">
        <v>27</v>
      </c>
      <c r="N228" s="30" t="s">
        <v>14</v>
      </c>
      <c r="O228" s="21" t="str">
        <f>VLOOKUP(H228,Product_Master!$A:$E,3,FALSE)</f>
        <v>Accessories</v>
      </c>
      <c r="P228" s="21" t="str">
        <f>VLOOKUP(H228,Product_Master!$A:$E,4,FALSE)</f>
        <v>Logitech</v>
      </c>
      <c r="Q228" s="5">
        <f>VLOOKUP(H228,Product_Master!$A:$E,5,FALSE)</f>
        <v>0.18</v>
      </c>
      <c r="R228" s="2">
        <f t="shared" si="12"/>
        <v>1200</v>
      </c>
      <c r="S228" s="2">
        <f t="shared" si="13"/>
        <v>216</v>
      </c>
      <c r="T228" s="2">
        <f t="shared" si="14"/>
        <v>1416</v>
      </c>
    </row>
    <row r="229" spans="1:20" x14ac:dyDescent="0.2">
      <c r="A229" s="5" t="s">
        <v>491</v>
      </c>
      <c r="B229" s="3">
        <v>46209</v>
      </c>
      <c r="C229" s="21" t="s">
        <v>492</v>
      </c>
      <c r="D229" s="5" t="str" cm="1">
        <f t="array" ref="D229:F229">_xlfn.TEXTSPLIT(TRIM(C229),"-")</f>
        <v>C228</v>
      </c>
      <c r="E229" s="21" t="str">
        <v>Farhan</v>
      </c>
      <c r="F229" s="21" t="str">
        <v>Alappuzha</v>
      </c>
      <c r="G229" s="21" t="s">
        <v>88</v>
      </c>
      <c r="H229" s="5" t="str" cm="1">
        <f t="array" ref="H229:I229">_xlfn.TEXTSPLIT(TRIM(G229),"-")</f>
        <v>P108</v>
      </c>
      <c r="I229" s="21" t="str">
        <v>SSD</v>
      </c>
      <c r="J229" s="21" t="s">
        <v>42</v>
      </c>
      <c r="K229" s="4">
        <v>11</v>
      </c>
      <c r="L229" s="31">
        <v>6500</v>
      </c>
      <c r="M229" s="21" t="s">
        <v>18</v>
      </c>
      <c r="N229" s="30" t="s">
        <v>34</v>
      </c>
      <c r="O229" s="21" t="str">
        <f>VLOOKUP(H229,Product_Master!$A:$E,3,FALSE)</f>
        <v>Storage</v>
      </c>
      <c r="P229" s="21" t="str">
        <f>VLOOKUP(H229,Product_Master!$A:$E,4,FALSE)</f>
        <v>Samsung</v>
      </c>
      <c r="Q229" s="5">
        <f>VLOOKUP(H229,Product_Master!$A:$E,5,FALSE)</f>
        <v>0.18</v>
      </c>
      <c r="R229" s="2">
        <f t="shared" si="12"/>
        <v>71500</v>
      </c>
      <c r="S229" s="2">
        <f t="shared" si="13"/>
        <v>12870</v>
      </c>
      <c r="T229" s="2">
        <f t="shared" si="14"/>
        <v>84370</v>
      </c>
    </row>
    <row r="230" spans="1:20" x14ac:dyDescent="0.2">
      <c r="A230" s="5" t="s">
        <v>493</v>
      </c>
      <c r="B230" s="3">
        <v>46229</v>
      </c>
      <c r="C230" s="21" t="s">
        <v>494</v>
      </c>
      <c r="D230" s="5" t="str" cm="1">
        <f t="array" ref="D230:F230">_xlfn.TEXTSPLIT(TRIM(C230),"-")</f>
        <v>C229</v>
      </c>
      <c r="E230" s="21" t="str">
        <v>Anjali</v>
      </c>
      <c r="F230" s="21" t="str">
        <v>Kollam</v>
      </c>
      <c r="G230" s="21" t="s">
        <v>48</v>
      </c>
      <c r="H230" s="5" t="str" cm="1">
        <f t="array" ref="H230:I230">_xlfn.TEXTSPLIT(TRIM(G230),"-")</f>
        <v>P104</v>
      </c>
      <c r="I230" s="21" t="str">
        <v>Mouse</v>
      </c>
      <c r="J230" s="21" t="s">
        <v>26</v>
      </c>
      <c r="K230" s="4">
        <v>1</v>
      </c>
      <c r="L230" s="31">
        <v>750</v>
      </c>
      <c r="M230" s="21" t="s">
        <v>18</v>
      </c>
      <c r="N230" s="30" t="s">
        <v>28</v>
      </c>
      <c r="O230" s="21" t="str">
        <f>VLOOKUP(H230,Product_Master!$A:$E,3,FALSE)</f>
        <v>Accessories</v>
      </c>
      <c r="P230" s="21" t="str">
        <f>VLOOKUP(H230,Product_Master!$A:$E,4,FALSE)</f>
        <v>HP</v>
      </c>
      <c r="Q230" s="5">
        <f>VLOOKUP(H230,Product_Master!$A:$E,5,FALSE)</f>
        <v>0.18</v>
      </c>
      <c r="R230" s="2">
        <f t="shared" si="12"/>
        <v>750</v>
      </c>
      <c r="S230" s="2">
        <f t="shared" si="13"/>
        <v>135</v>
      </c>
      <c r="T230" s="2">
        <f t="shared" si="14"/>
        <v>885</v>
      </c>
    </row>
    <row r="231" spans="1:20" x14ac:dyDescent="0.2">
      <c r="A231" s="5" t="s">
        <v>495</v>
      </c>
      <c r="B231" s="3">
        <v>46205</v>
      </c>
      <c r="C231" s="21" t="s">
        <v>496</v>
      </c>
      <c r="D231" s="5" t="str" cm="1">
        <f t="array" ref="D231:F231">_xlfn.TEXTSPLIT(TRIM(C231),"-")</f>
        <v>C230</v>
      </c>
      <c r="E231" s="21" t="str">
        <v>Fathima</v>
      </c>
      <c r="F231" s="21" t="str">
        <v>Thrissur</v>
      </c>
      <c r="G231" s="21" t="s">
        <v>88</v>
      </c>
      <c r="H231" s="5" t="str" cm="1">
        <f t="array" ref="H231:I231">_xlfn.TEXTSPLIT(TRIM(G231),"-")</f>
        <v>P108</v>
      </c>
      <c r="I231" s="21" t="str">
        <v>SSD</v>
      </c>
      <c r="J231" s="21" t="s">
        <v>51</v>
      </c>
      <c r="K231" s="4">
        <v>5</v>
      </c>
      <c r="L231" s="31">
        <v>6500</v>
      </c>
      <c r="M231" s="21" t="s">
        <v>13</v>
      </c>
      <c r="N231" s="30" t="s">
        <v>28</v>
      </c>
      <c r="O231" s="21" t="str">
        <f>VLOOKUP(H231,Product_Master!$A:$E,3,FALSE)</f>
        <v>Storage</v>
      </c>
      <c r="P231" s="21" t="str">
        <f>VLOOKUP(H231,Product_Master!$A:$E,4,FALSE)</f>
        <v>Samsung</v>
      </c>
      <c r="Q231" s="5">
        <f>VLOOKUP(H231,Product_Master!$A:$E,5,FALSE)</f>
        <v>0.18</v>
      </c>
      <c r="R231" s="2">
        <f t="shared" si="12"/>
        <v>32500</v>
      </c>
      <c r="S231" s="2">
        <f t="shared" si="13"/>
        <v>5850</v>
      </c>
      <c r="T231" s="2">
        <f t="shared" si="14"/>
        <v>38350</v>
      </c>
    </row>
    <row r="232" spans="1:20" x14ac:dyDescent="0.2">
      <c r="A232" s="5" t="s">
        <v>497</v>
      </c>
      <c r="B232" s="3">
        <v>46207</v>
      </c>
      <c r="C232" s="21" t="s">
        <v>498</v>
      </c>
      <c r="D232" s="5" t="str" cm="1">
        <f t="array" ref="D232:F232">_xlfn.TEXTSPLIT(TRIM(C232),"-")</f>
        <v>C231</v>
      </c>
      <c r="E232" s="21" t="str">
        <v>Sneha</v>
      </c>
      <c r="F232" s="21" t="str">
        <v>Kochi</v>
      </c>
      <c r="G232" s="21" t="s">
        <v>31</v>
      </c>
      <c r="H232" s="5" t="str" cm="1">
        <f t="array" ref="H232:I232">_xlfn.TEXTSPLIT(TRIM(G232),"-")</f>
        <v>P106</v>
      </c>
      <c r="I232" s="21" t="str">
        <v>Printer</v>
      </c>
      <c r="J232" s="21" t="s">
        <v>64</v>
      </c>
      <c r="K232" s="4">
        <v>5</v>
      </c>
      <c r="L232" s="31">
        <v>12500</v>
      </c>
      <c r="M232" s="21" t="s">
        <v>23</v>
      </c>
      <c r="N232" s="30" t="s">
        <v>34</v>
      </c>
      <c r="O232" s="21" t="str">
        <f>VLOOKUP(H232,Product_Master!$A:$E,3,FALSE)</f>
        <v>Electronics</v>
      </c>
      <c r="P232" s="21" t="str">
        <f>VLOOKUP(H232,Product_Master!$A:$E,4,FALSE)</f>
        <v>Canon</v>
      </c>
      <c r="Q232" s="5">
        <f>VLOOKUP(H232,Product_Master!$A:$E,5,FALSE)</f>
        <v>0.18</v>
      </c>
      <c r="R232" s="2">
        <f t="shared" si="12"/>
        <v>62500</v>
      </c>
      <c r="S232" s="2">
        <f t="shared" si="13"/>
        <v>11250</v>
      </c>
      <c r="T232" s="2">
        <f t="shared" si="14"/>
        <v>73750</v>
      </c>
    </row>
    <row r="233" spans="1:20" x14ac:dyDescent="0.2">
      <c r="A233" s="5" t="s">
        <v>499</v>
      </c>
      <c r="B233" s="3">
        <v>46209</v>
      </c>
      <c r="C233" s="21" t="s">
        <v>500</v>
      </c>
      <c r="D233" s="5" t="str" cm="1">
        <f t="array" ref="D233:F233">_xlfn.TEXTSPLIT(TRIM(C233),"-")</f>
        <v>C232</v>
      </c>
      <c r="E233" s="21" t="str">
        <v>Joel</v>
      </c>
      <c r="F233" s="21" t="str">
        <v>Alappuzha</v>
      </c>
      <c r="G233" s="21" t="s">
        <v>54</v>
      </c>
      <c r="H233" s="5" t="str" cm="1">
        <f t="array" ref="H233:I233">_xlfn.TEXTSPLIT(TRIM(G233),"-")</f>
        <v>P107</v>
      </c>
      <c r="I233" s="21" t="str">
        <v>Webcam</v>
      </c>
      <c r="J233" s="21" t="s">
        <v>42</v>
      </c>
      <c r="K233" s="4">
        <v>6</v>
      </c>
      <c r="L233" s="31">
        <v>3500</v>
      </c>
      <c r="M233" s="21" t="s">
        <v>23</v>
      </c>
      <c r="N233" s="30" t="s">
        <v>28</v>
      </c>
      <c r="O233" s="21" t="str">
        <f>VLOOKUP(H233,Product_Master!$A:$E,3,FALSE)</f>
        <v>Electronics</v>
      </c>
      <c r="P233" s="21" t="str">
        <f>VLOOKUP(H233,Product_Master!$A:$E,4,FALSE)</f>
        <v>Logitech</v>
      </c>
      <c r="Q233" s="5">
        <f>VLOOKUP(H233,Product_Master!$A:$E,5,FALSE)</f>
        <v>0.18</v>
      </c>
      <c r="R233" s="2">
        <f t="shared" si="12"/>
        <v>21000</v>
      </c>
      <c r="S233" s="2">
        <f t="shared" si="13"/>
        <v>3780</v>
      </c>
      <c r="T233" s="2">
        <f t="shared" si="14"/>
        <v>24780</v>
      </c>
    </row>
    <row r="234" spans="1:20" x14ac:dyDescent="0.2">
      <c r="A234" s="5" t="s">
        <v>501</v>
      </c>
      <c r="B234" s="3">
        <v>46217</v>
      </c>
      <c r="C234" s="21" t="s">
        <v>502</v>
      </c>
      <c r="D234" s="5" t="str" cm="1">
        <f t="array" ref="D234:F234">_xlfn.TEXTSPLIT(TRIM(C234),"-")</f>
        <v>C233</v>
      </c>
      <c r="E234" s="21" t="str">
        <v>Meera</v>
      </c>
      <c r="F234" s="21" t="str">
        <v>Kollam</v>
      </c>
      <c r="G234" s="21" t="s">
        <v>17</v>
      </c>
      <c r="H234" s="5" t="str" cm="1">
        <f t="array" ref="H234:I234">_xlfn.TEXTSPLIT(TRIM(G234),"-")</f>
        <v>P102</v>
      </c>
      <c r="I234" s="21" t="str">
        <v>Monitor</v>
      </c>
      <c r="J234" s="21" t="s">
        <v>26</v>
      </c>
      <c r="K234" s="4">
        <v>12</v>
      </c>
      <c r="L234" s="31">
        <v>15000</v>
      </c>
      <c r="M234" s="21" t="s">
        <v>23</v>
      </c>
      <c r="N234" s="30" t="s">
        <v>61</v>
      </c>
      <c r="O234" s="21" t="str">
        <f>VLOOKUP(H234,Product_Master!$A:$E,3,FALSE)</f>
        <v>Electronics</v>
      </c>
      <c r="P234" s="21" t="str">
        <f>VLOOKUP(H234,Product_Master!$A:$E,4,FALSE)</f>
        <v>LG</v>
      </c>
      <c r="Q234" s="5">
        <f>VLOOKUP(H234,Product_Master!$A:$E,5,FALSE)</f>
        <v>0.18</v>
      </c>
      <c r="R234" s="2">
        <f t="shared" si="12"/>
        <v>180000</v>
      </c>
      <c r="S234" s="2">
        <f t="shared" si="13"/>
        <v>32400</v>
      </c>
      <c r="T234" s="2">
        <f t="shared" si="14"/>
        <v>212400</v>
      </c>
    </row>
    <row r="235" spans="1:20" x14ac:dyDescent="0.2">
      <c r="A235" s="5" t="s">
        <v>503</v>
      </c>
      <c r="B235" s="3">
        <v>46206</v>
      </c>
      <c r="C235" s="21" t="s">
        <v>504</v>
      </c>
      <c r="D235" s="5" t="str" cm="1">
        <f t="array" ref="D235:F235">_xlfn.TEXTSPLIT(TRIM(C235),"-")</f>
        <v>C234</v>
      </c>
      <c r="E235" s="21" t="str">
        <v>Neha</v>
      </c>
      <c r="F235" s="21" t="str">
        <v>Kollam</v>
      </c>
      <c r="G235" s="21" t="s">
        <v>31</v>
      </c>
      <c r="H235" s="5" t="str" cm="1">
        <f t="array" ref="H235:I235">_xlfn.TEXTSPLIT(TRIM(G235),"-")</f>
        <v>P106</v>
      </c>
      <c r="I235" s="21" t="str">
        <v>Printer</v>
      </c>
      <c r="J235" s="21" t="s">
        <v>26</v>
      </c>
      <c r="K235" s="4">
        <v>2</v>
      </c>
      <c r="L235" s="31">
        <v>12500</v>
      </c>
      <c r="M235" s="21" t="s">
        <v>27</v>
      </c>
      <c r="N235" s="30" t="s">
        <v>28</v>
      </c>
      <c r="O235" s="21" t="str">
        <f>VLOOKUP(H235,Product_Master!$A:$E,3,FALSE)</f>
        <v>Electronics</v>
      </c>
      <c r="P235" s="21" t="str">
        <f>VLOOKUP(H235,Product_Master!$A:$E,4,FALSE)</f>
        <v>Canon</v>
      </c>
      <c r="Q235" s="5">
        <f>VLOOKUP(H235,Product_Master!$A:$E,5,FALSE)</f>
        <v>0.18</v>
      </c>
      <c r="R235" s="2">
        <f t="shared" si="12"/>
        <v>25000</v>
      </c>
      <c r="S235" s="2">
        <f t="shared" si="13"/>
        <v>4500</v>
      </c>
      <c r="T235" s="2">
        <f t="shared" si="14"/>
        <v>29500</v>
      </c>
    </row>
    <row r="236" spans="1:20" x14ac:dyDescent="0.2">
      <c r="A236" s="5" t="s">
        <v>505</v>
      </c>
      <c r="B236" s="3">
        <v>46218</v>
      </c>
      <c r="C236" s="21" t="s">
        <v>506</v>
      </c>
      <c r="D236" s="5" t="str" cm="1">
        <f t="array" ref="D236:F236">_xlfn.TEXTSPLIT(TRIM(C236),"-")</f>
        <v>C235</v>
      </c>
      <c r="E236" s="21" t="str">
        <v>Lakshmi</v>
      </c>
      <c r="F236" s="21" t="str">
        <v>Thrissur</v>
      </c>
      <c r="G236" s="21" t="s">
        <v>45</v>
      </c>
      <c r="H236" s="5" t="str" cm="1">
        <f t="array" ref="H236:I236">_xlfn.TEXTSPLIT(TRIM(G236),"-")</f>
        <v>P103</v>
      </c>
      <c r="I236" s="21" t="str">
        <v>Keyboard</v>
      </c>
      <c r="J236" s="21" t="s">
        <v>51</v>
      </c>
      <c r="K236" s="4">
        <v>12</v>
      </c>
      <c r="L236" s="31">
        <v>1200</v>
      </c>
      <c r="M236" s="21" t="s">
        <v>23</v>
      </c>
      <c r="N236" s="30" t="s">
        <v>19</v>
      </c>
      <c r="O236" s="21" t="str">
        <f>VLOOKUP(H236,Product_Master!$A:$E,3,FALSE)</f>
        <v>Accessories</v>
      </c>
      <c r="P236" s="21" t="str">
        <f>VLOOKUP(H236,Product_Master!$A:$E,4,FALSE)</f>
        <v>Logitech</v>
      </c>
      <c r="Q236" s="5">
        <f>VLOOKUP(H236,Product_Master!$A:$E,5,FALSE)</f>
        <v>0.18</v>
      </c>
      <c r="R236" s="2">
        <f t="shared" si="12"/>
        <v>14400</v>
      </c>
      <c r="S236" s="2">
        <f t="shared" si="13"/>
        <v>2592</v>
      </c>
      <c r="T236" s="2">
        <f t="shared" si="14"/>
        <v>16992</v>
      </c>
    </row>
    <row r="237" spans="1:20" x14ac:dyDescent="0.2">
      <c r="A237" s="5" t="s">
        <v>507</v>
      </c>
      <c r="B237" s="3">
        <v>46224</v>
      </c>
      <c r="C237" s="21" t="s">
        <v>508</v>
      </c>
      <c r="D237" s="5" t="str" cm="1">
        <f t="array" ref="D237:F237">_xlfn.TEXTSPLIT(TRIM(C237),"-")</f>
        <v>C236</v>
      </c>
      <c r="E237" s="21" t="str">
        <v>Joel</v>
      </c>
      <c r="F237" s="21" t="str">
        <v>Malappuram</v>
      </c>
      <c r="G237" s="21" t="s">
        <v>54</v>
      </c>
      <c r="H237" s="5" t="str" cm="1">
        <f t="array" ref="H237:I237">_xlfn.TEXTSPLIT(TRIM(G237),"-")</f>
        <v>P107</v>
      </c>
      <c r="I237" s="21" t="str">
        <v>Webcam</v>
      </c>
      <c r="J237" s="21" t="s">
        <v>113</v>
      </c>
      <c r="K237" s="4">
        <v>5</v>
      </c>
      <c r="L237" s="31">
        <v>3500</v>
      </c>
      <c r="M237" s="21" t="s">
        <v>18</v>
      </c>
      <c r="N237" s="30" t="s">
        <v>34</v>
      </c>
      <c r="O237" s="21" t="str">
        <f>VLOOKUP(H237,Product_Master!$A:$E,3,FALSE)</f>
        <v>Electronics</v>
      </c>
      <c r="P237" s="21" t="str">
        <f>VLOOKUP(H237,Product_Master!$A:$E,4,FALSE)</f>
        <v>Logitech</v>
      </c>
      <c r="Q237" s="5">
        <f>VLOOKUP(H237,Product_Master!$A:$E,5,FALSE)</f>
        <v>0.18</v>
      </c>
      <c r="R237" s="2">
        <f t="shared" si="12"/>
        <v>17500</v>
      </c>
      <c r="S237" s="2">
        <f t="shared" si="13"/>
        <v>3150</v>
      </c>
      <c r="T237" s="2">
        <f t="shared" si="14"/>
        <v>20650</v>
      </c>
    </row>
    <row r="238" spans="1:20" x14ac:dyDescent="0.2">
      <c r="A238" s="5" t="s">
        <v>509</v>
      </c>
      <c r="B238" s="3">
        <v>46231</v>
      </c>
      <c r="C238" s="21" t="s">
        <v>510</v>
      </c>
      <c r="D238" s="5" t="str" cm="1">
        <f t="array" ref="D238:F238">_xlfn.TEXTSPLIT(TRIM(C238),"-")</f>
        <v>C237</v>
      </c>
      <c r="E238" s="21" t="str">
        <v>Sneha</v>
      </c>
      <c r="F238" s="21" t="str">
        <v>Kozhikode</v>
      </c>
      <c r="G238" s="21" t="s">
        <v>11</v>
      </c>
      <c r="H238" s="5" t="str" cm="1">
        <f t="array" ref="H238:I238">_xlfn.TEXTSPLIT(TRIM(G238),"-")</f>
        <v>P101</v>
      </c>
      <c r="I238" s="21" t="str">
        <v>Laptop</v>
      </c>
      <c r="J238" s="21" t="s">
        <v>71</v>
      </c>
      <c r="K238" s="4">
        <v>3</v>
      </c>
      <c r="L238" s="31">
        <v>55000</v>
      </c>
      <c r="M238" s="21" t="s">
        <v>23</v>
      </c>
      <c r="N238" s="30" t="s">
        <v>19</v>
      </c>
      <c r="O238" s="21" t="str">
        <f>VLOOKUP(H238,Product_Master!$A:$E,3,FALSE)</f>
        <v>Electronics</v>
      </c>
      <c r="P238" s="21" t="str">
        <f>VLOOKUP(H238,Product_Master!$A:$E,4,FALSE)</f>
        <v>Dell</v>
      </c>
      <c r="Q238" s="5">
        <f>VLOOKUP(H238,Product_Master!$A:$E,5,FALSE)</f>
        <v>0.18</v>
      </c>
      <c r="R238" s="2">
        <f t="shared" si="12"/>
        <v>165000</v>
      </c>
      <c r="S238" s="2">
        <f t="shared" si="13"/>
        <v>29700</v>
      </c>
      <c r="T238" s="2">
        <f t="shared" si="14"/>
        <v>194700</v>
      </c>
    </row>
    <row r="239" spans="1:20" x14ac:dyDescent="0.2">
      <c r="A239" s="5" t="s">
        <v>511</v>
      </c>
      <c r="B239" s="3">
        <v>46215</v>
      </c>
      <c r="C239" s="21" t="s">
        <v>512</v>
      </c>
      <c r="D239" s="5" t="str" cm="1">
        <f t="array" ref="D239:F239">_xlfn.TEXTSPLIT(TRIM(C239),"-")</f>
        <v>C238</v>
      </c>
      <c r="E239" s="21" t="str">
        <v>Akhil</v>
      </c>
      <c r="F239" s="21" t="str">
        <v>Trivandrum</v>
      </c>
      <c r="G239" s="21" t="s">
        <v>48</v>
      </c>
      <c r="H239" s="5" t="str" cm="1">
        <f t="array" ref="H239:I239">_xlfn.TEXTSPLIT(TRIM(G239),"-")</f>
        <v>P104</v>
      </c>
      <c r="I239" s="21" t="str">
        <v>Mouse</v>
      </c>
      <c r="J239" s="21" t="s">
        <v>12</v>
      </c>
      <c r="K239" s="4">
        <v>11</v>
      </c>
      <c r="L239" s="31">
        <v>750</v>
      </c>
      <c r="M239" s="21" t="s">
        <v>23</v>
      </c>
      <c r="N239" s="30" t="s">
        <v>61</v>
      </c>
      <c r="O239" s="21" t="str">
        <f>VLOOKUP(H239,Product_Master!$A:$E,3,FALSE)</f>
        <v>Accessories</v>
      </c>
      <c r="P239" s="21" t="str">
        <f>VLOOKUP(H239,Product_Master!$A:$E,4,FALSE)</f>
        <v>HP</v>
      </c>
      <c r="Q239" s="5">
        <f>VLOOKUP(H239,Product_Master!$A:$E,5,FALSE)</f>
        <v>0.18</v>
      </c>
      <c r="R239" s="2">
        <f t="shared" si="12"/>
        <v>8250</v>
      </c>
      <c r="S239" s="2">
        <f t="shared" si="13"/>
        <v>1485</v>
      </c>
      <c r="T239" s="2">
        <f t="shared" si="14"/>
        <v>9735</v>
      </c>
    </row>
    <row r="240" spans="1:20" x14ac:dyDescent="0.2">
      <c r="A240" s="5" t="s">
        <v>513</v>
      </c>
      <c r="B240" s="3">
        <v>46215</v>
      </c>
      <c r="C240" s="21" t="s">
        <v>514</v>
      </c>
      <c r="D240" s="5" t="str" cm="1">
        <f t="array" ref="D240:F240">_xlfn.TEXTSPLIT(TRIM(C240),"-")</f>
        <v>C239</v>
      </c>
      <c r="E240" s="21" t="str">
        <v>Anjali</v>
      </c>
      <c r="F240" s="21" t="str">
        <v>Kozhikode</v>
      </c>
      <c r="G240" s="21" t="s">
        <v>88</v>
      </c>
      <c r="H240" s="5" t="str" cm="1">
        <f t="array" ref="H240:I240">_xlfn.TEXTSPLIT(TRIM(G240),"-")</f>
        <v>P108</v>
      </c>
      <c r="I240" s="21" t="str">
        <v>SSD</v>
      </c>
      <c r="J240" s="21" t="s">
        <v>71</v>
      </c>
      <c r="K240" s="4">
        <v>6</v>
      </c>
      <c r="L240" s="31">
        <v>6500</v>
      </c>
      <c r="M240" s="21" t="s">
        <v>18</v>
      </c>
      <c r="N240" s="30" t="s">
        <v>61</v>
      </c>
      <c r="O240" s="21" t="str">
        <f>VLOOKUP(H240,Product_Master!$A:$E,3,FALSE)</f>
        <v>Storage</v>
      </c>
      <c r="P240" s="21" t="str">
        <f>VLOOKUP(H240,Product_Master!$A:$E,4,FALSE)</f>
        <v>Samsung</v>
      </c>
      <c r="Q240" s="5">
        <f>VLOOKUP(H240,Product_Master!$A:$E,5,FALSE)</f>
        <v>0.18</v>
      </c>
      <c r="R240" s="2">
        <f t="shared" si="12"/>
        <v>39000</v>
      </c>
      <c r="S240" s="2">
        <f t="shared" si="13"/>
        <v>7020</v>
      </c>
      <c r="T240" s="2">
        <f t="shared" si="14"/>
        <v>46020</v>
      </c>
    </row>
    <row r="241" spans="1:20" x14ac:dyDescent="0.2">
      <c r="A241" s="5" t="s">
        <v>515</v>
      </c>
      <c r="B241" s="3">
        <v>46224</v>
      </c>
      <c r="C241" s="21" t="s">
        <v>516</v>
      </c>
      <c r="D241" s="5" t="str" cm="1">
        <f t="array" ref="D241:F241">_xlfn.TEXTSPLIT(TRIM(C241),"-")</f>
        <v>C240</v>
      </c>
      <c r="E241" s="21" t="str">
        <v>Akhil</v>
      </c>
      <c r="F241" s="21" t="str">
        <v>Malappuram</v>
      </c>
      <c r="G241" s="21" t="s">
        <v>54</v>
      </c>
      <c r="H241" s="5" t="str" cm="1">
        <f t="array" ref="H241:I241">_xlfn.TEXTSPLIT(TRIM(G241),"-")</f>
        <v>P107</v>
      </c>
      <c r="I241" s="21" t="str">
        <v>Webcam</v>
      </c>
      <c r="J241" s="21" t="s">
        <v>113</v>
      </c>
      <c r="K241" s="4">
        <v>6</v>
      </c>
      <c r="L241" s="31">
        <v>3500</v>
      </c>
      <c r="M241" s="21" t="s">
        <v>13</v>
      </c>
      <c r="N241" s="30" t="s">
        <v>19</v>
      </c>
      <c r="O241" s="21" t="str">
        <f>VLOOKUP(H241,Product_Master!$A:$E,3,FALSE)</f>
        <v>Electronics</v>
      </c>
      <c r="P241" s="21" t="str">
        <f>VLOOKUP(H241,Product_Master!$A:$E,4,FALSE)</f>
        <v>Logitech</v>
      </c>
      <c r="Q241" s="5">
        <f>VLOOKUP(H241,Product_Master!$A:$E,5,FALSE)</f>
        <v>0.18</v>
      </c>
      <c r="R241" s="2">
        <f t="shared" si="12"/>
        <v>21000</v>
      </c>
      <c r="S241" s="2">
        <f t="shared" si="13"/>
        <v>3780</v>
      </c>
      <c r="T241" s="2">
        <f t="shared" si="14"/>
        <v>24780</v>
      </c>
    </row>
    <row r="242" spans="1:20" x14ac:dyDescent="0.2">
      <c r="A242" s="5" t="s">
        <v>517</v>
      </c>
      <c r="B242" s="3">
        <v>46216</v>
      </c>
      <c r="C242" s="21" t="s">
        <v>518</v>
      </c>
      <c r="D242" s="5" t="str" cm="1">
        <f t="array" ref="D242:F242">_xlfn.TEXTSPLIT(TRIM(C242),"-")</f>
        <v>C241</v>
      </c>
      <c r="E242" s="21" t="str">
        <v>Rahul</v>
      </c>
      <c r="F242" s="21" t="str">
        <v>Kozhikode</v>
      </c>
      <c r="G242" s="21" t="s">
        <v>88</v>
      </c>
      <c r="H242" s="5" t="str" cm="1">
        <f t="array" ref="H242:I242">_xlfn.TEXTSPLIT(TRIM(G242),"-")</f>
        <v>P108</v>
      </c>
      <c r="I242" s="21" t="str">
        <v>SSD</v>
      </c>
      <c r="J242" s="21" t="s">
        <v>71</v>
      </c>
      <c r="K242" s="4">
        <v>9</v>
      </c>
      <c r="L242" s="31">
        <v>6500</v>
      </c>
      <c r="M242" s="21" t="s">
        <v>18</v>
      </c>
      <c r="N242" s="30" t="s">
        <v>28</v>
      </c>
      <c r="O242" s="21" t="str">
        <f>VLOOKUP(H242,Product_Master!$A:$E,3,FALSE)</f>
        <v>Storage</v>
      </c>
      <c r="P242" s="21" t="str">
        <f>VLOOKUP(H242,Product_Master!$A:$E,4,FALSE)</f>
        <v>Samsung</v>
      </c>
      <c r="Q242" s="5">
        <f>VLOOKUP(H242,Product_Master!$A:$E,5,FALSE)</f>
        <v>0.18</v>
      </c>
      <c r="R242" s="2">
        <f t="shared" si="12"/>
        <v>58500</v>
      </c>
      <c r="S242" s="2">
        <f t="shared" si="13"/>
        <v>10530</v>
      </c>
      <c r="T242" s="2">
        <f t="shared" si="14"/>
        <v>69030</v>
      </c>
    </row>
    <row r="243" spans="1:20" x14ac:dyDescent="0.2">
      <c r="A243" s="5" t="s">
        <v>519</v>
      </c>
      <c r="B243" s="3">
        <v>46213</v>
      </c>
      <c r="C243" s="21" t="s">
        <v>520</v>
      </c>
      <c r="D243" s="5" t="str" cm="1">
        <f t="array" ref="D243:F243">_xlfn.TEXTSPLIT(TRIM(C243),"-")</f>
        <v>C242</v>
      </c>
      <c r="E243" s="21" t="str">
        <v>Sanjay</v>
      </c>
      <c r="F243" s="21" t="str">
        <v>Alappuzha</v>
      </c>
      <c r="G243" s="21" t="s">
        <v>48</v>
      </c>
      <c r="H243" s="5" t="str" cm="1">
        <f t="array" ref="H243:I243">_xlfn.TEXTSPLIT(TRIM(G243),"-")</f>
        <v>P104</v>
      </c>
      <c r="I243" s="21" t="str">
        <v>Mouse</v>
      </c>
      <c r="J243" s="21" t="s">
        <v>42</v>
      </c>
      <c r="K243" s="4">
        <v>10</v>
      </c>
      <c r="L243" s="31">
        <v>750</v>
      </c>
      <c r="M243" s="21" t="s">
        <v>23</v>
      </c>
      <c r="N243" s="30" t="s">
        <v>14</v>
      </c>
      <c r="O243" s="21" t="str">
        <f>VLOOKUP(H243,Product_Master!$A:$E,3,FALSE)</f>
        <v>Accessories</v>
      </c>
      <c r="P243" s="21" t="str">
        <f>VLOOKUP(H243,Product_Master!$A:$E,4,FALSE)</f>
        <v>HP</v>
      </c>
      <c r="Q243" s="5">
        <f>VLOOKUP(H243,Product_Master!$A:$E,5,FALSE)</f>
        <v>0.18</v>
      </c>
      <c r="R243" s="2">
        <f t="shared" si="12"/>
        <v>7500</v>
      </c>
      <c r="S243" s="2">
        <f t="shared" si="13"/>
        <v>1350</v>
      </c>
      <c r="T243" s="2">
        <f t="shared" si="14"/>
        <v>8850</v>
      </c>
    </row>
    <row r="244" spans="1:20" x14ac:dyDescent="0.2">
      <c r="A244" s="5" t="s">
        <v>521</v>
      </c>
      <c r="B244" s="3">
        <v>46209</v>
      </c>
      <c r="C244" s="21" t="s">
        <v>522</v>
      </c>
      <c r="D244" s="5" t="str" cm="1">
        <f t="array" ref="D244:F244">_xlfn.TEXTSPLIT(TRIM(C244),"-")</f>
        <v>C243</v>
      </c>
      <c r="E244" s="21" t="str">
        <v>Priya</v>
      </c>
      <c r="F244" s="21" t="str">
        <v>Kozhikode</v>
      </c>
      <c r="G244" s="21" t="s">
        <v>17</v>
      </c>
      <c r="H244" s="5" t="str" cm="1">
        <f t="array" ref="H244:I244">_xlfn.TEXTSPLIT(TRIM(G244),"-")</f>
        <v>P102</v>
      </c>
      <c r="I244" s="21" t="str">
        <v>Monitor</v>
      </c>
      <c r="J244" s="21" t="s">
        <v>71</v>
      </c>
      <c r="K244" s="4">
        <v>8</v>
      </c>
      <c r="L244" s="31">
        <v>15000</v>
      </c>
      <c r="M244" s="21" t="s">
        <v>23</v>
      </c>
      <c r="N244" s="30" t="s">
        <v>19</v>
      </c>
      <c r="O244" s="21" t="str">
        <f>VLOOKUP(H244,Product_Master!$A:$E,3,FALSE)</f>
        <v>Electronics</v>
      </c>
      <c r="P244" s="21" t="str">
        <f>VLOOKUP(H244,Product_Master!$A:$E,4,FALSE)</f>
        <v>LG</v>
      </c>
      <c r="Q244" s="5">
        <f>VLOOKUP(H244,Product_Master!$A:$E,5,FALSE)</f>
        <v>0.18</v>
      </c>
      <c r="R244" s="2">
        <f t="shared" si="12"/>
        <v>120000</v>
      </c>
      <c r="S244" s="2">
        <f t="shared" si="13"/>
        <v>21600</v>
      </c>
      <c r="T244" s="2">
        <f t="shared" si="14"/>
        <v>141600</v>
      </c>
    </row>
    <row r="245" spans="1:20" x14ac:dyDescent="0.2">
      <c r="A245" s="5" t="s">
        <v>523</v>
      </c>
      <c r="B245" s="3">
        <v>46206</v>
      </c>
      <c r="C245" s="21" t="s">
        <v>524</v>
      </c>
      <c r="D245" s="5" t="str" cm="1">
        <f t="array" ref="D245:F245">_xlfn.TEXTSPLIT(TRIM(C245),"-")</f>
        <v>C244</v>
      </c>
      <c r="E245" s="21" t="str">
        <v>Farhan</v>
      </c>
      <c r="F245" s="21" t="str">
        <v>Malappuram</v>
      </c>
      <c r="G245" s="21" t="s">
        <v>31</v>
      </c>
      <c r="H245" s="5" t="str" cm="1">
        <f t="array" ref="H245:I245">_xlfn.TEXTSPLIT(TRIM(G245),"-")</f>
        <v>P106</v>
      </c>
      <c r="I245" s="21" t="str">
        <v>Printer</v>
      </c>
      <c r="J245" s="21" t="s">
        <v>113</v>
      </c>
      <c r="K245" s="4">
        <v>12</v>
      </c>
      <c r="L245" s="31">
        <v>12500</v>
      </c>
      <c r="M245" s="21" t="s">
        <v>27</v>
      </c>
      <c r="N245" s="30" t="s">
        <v>28</v>
      </c>
      <c r="O245" s="21" t="str">
        <f>VLOOKUP(H245,Product_Master!$A:$E,3,FALSE)</f>
        <v>Electronics</v>
      </c>
      <c r="P245" s="21" t="str">
        <f>VLOOKUP(H245,Product_Master!$A:$E,4,FALSE)</f>
        <v>Canon</v>
      </c>
      <c r="Q245" s="5">
        <f>VLOOKUP(H245,Product_Master!$A:$E,5,FALSE)</f>
        <v>0.18</v>
      </c>
      <c r="R245" s="2">
        <f t="shared" si="12"/>
        <v>150000</v>
      </c>
      <c r="S245" s="2">
        <f t="shared" si="13"/>
        <v>27000</v>
      </c>
      <c r="T245" s="2">
        <f t="shared" si="14"/>
        <v>177000</v>
      </c>
    </row>
    <row r="246" spans="1:20" x14ac:dyDescent="0.2">
      <c r="A246" s="5" t="s">
        <v>525</v>
      </c>
      <c r="B246" s="3">
        <v>46211</v>
      </c>
      <c r="C246" s="21" t="s">
        <v>526</v>
      </c>
      <c r="D246" s="5" t="str" cm="1">
        <f t="array" ref="D246:F246">_xlfn.TEXTSPLIT(TRIM(C246),"-")</f>
        <v>C245</v>
      </c>
      <c r="E246" s="21" t="str">
        <v>Neha</v>
      </c>
      <c r="F246" s="21" t="str">
        <v>Kozhikode</v>
      </c>
      <c r="G246" s="21" t="s">
        <v>31</v>
      </c>
      <c r="H246" s="5" t="str" cm="1">
        <f t="array" ref="H246:I246">_xlfn.TEXTSPLIT(TRIM(G246),"-")</f>
        <v>P106</v>
      </c>
      <c r="I246" s="21" t="str">
        <v>Printer</v>
      </c>
      <c r="J246" s="21" t="s">
        <v>71</v>
      </c>
      <c r="K246" s="4">
        <v>9</v>
      </c>
      <c r="L246" s="31">
        <v>12500</v>
      </c>
      <c r="M246" s="21" t="s">
        <v>13</v>
      </c>
      <c r="N246" s="30" t="s">
        <v>14</v>
      </c>
      <c r="O246" s="21" t="str">
        <f>VLOOKUP(H246,Product_Master!$A:$E,3,FALSE)</f>
        <v>Electronics</v>
      </c>
      <c r="P246" s="21" t="str">
        <f>VLOOKUP(H246,Product_Master!$A:$E,4,FALSE)</f>
        <v>Canon</v>
      </c>
      <c r="Q246" s="5">
        <f>VLOOKUP(H246,Product_Master!$A:$E,5,FALSE)</f>
        <v>0.18</v>
      </c>
      <c r="R246" s="2">
        <f t="shared" si="12"/>
        <v>112500</v>
      </c>
      <c r="S246" s="2">
        <f t="shared" si="13"/>
        <v>20250</v>
      </c>
      <c r="T246" s="2">
        <f t="shared" si="14"/>
        <v>132750</v>
      </c>
    </row>
    <row r="247" spans="1:20" x14ac:dyDescent="0.2">
      <c r="A247" s="5" t="s">
        <v>527</v>
      </c>
      <c r="B247" s="3">
        <v>46221</v>
      </c>
      <c r="C247" s="21" t="s">
        <v>528</v>
      </c>
      <c r="D247" s="5" t="str" cm="1">
        <f t="array" ref="D247:F247">_xlfn.TEXTSPLIT(TRIM(C247),"-")</f>
        <v>C246</v>
      </c>
      <c r="E247" s="21" t="str">
        <v>Divya</v>
      </c>
      <c r="F247" s="21" t="str">
        <v>Alappuzha</v>
      </c>
      <c r="G247" s="21" t="s">
        <v>11</v>
      </c>
      <c r="H247" s="5" t="str" cm="1">
        <f t="array" ref="H247:I247">_xlfn.TEXTSPLIT(TRIM(G247),"-")</f>
        <v>P101</v>
      </c>
      <c r="I247" s="21" t="str">
        <v>Laptop</v>
      </c>
      <c r="J247" s="21" t="s">
        <v>42</v>
      </c>
      <c r="K247" s="4">
        <v>6</v>
      </c>
      <c r="L247" s="31">
        <v>55000</v>
      </c>
      <c r="M247" s="21" t="s">
        <v>27</v>
      </c>
      <c r="N247" s="30" t="s">
        <v>34</v>
      </c>
      <c r="O247" s="21" t="str">
        <f>VLOOKUP(H247,Product_Master!$A:$E,3,FALSE)</f>
        <v>Electronics</v>
      </c>
      <c r="P247" s="21" t="str">
        <f>VLOOKUP(H247,Product_Master!$A:$E,4,FALSE)</f>
        <v>Dell</v>
      </c>
      <c r="Q247" s="5">
        <f>VLOOKUP(H247,Product_Master!$A:$E,5,FALSE)</f>
        <v>0.18</v>
      </c>
      <c r="R247" s="2">
        <f t="shared" si="12"/>
        <v>330000</v>
      </c>
      <c r="S247" s="2">
        <f t="shared" si="13"/>
        <v>59400</v>
      </c>
      <c r="T247" s="2">
        <f t="shared" si="14"/>
        <v>389400</v>
      </c>
    </row>
    <row r="248" spans="1:20" x14ac:dyDescent="0.2">
      <c r="A248" s="5" t="s">
        <v>529</v>
      </c>
      <c r="B248" s="3">
        <v>46213</v>
      </c>
      <c r="C248" s="21" t="s">
        <v>530</v>
      </c>
      <c r="D248" s="5" t="str" cm="1">
        <f t="array" ref="D248:F248">_xlfn.TEXTSPLIT(TRIM(C248),"-")</f>
        <v>C247</v>
      </c>
      <c r="E248" s="21" t="str">
        <v>Ravi</v>
      </c>
      <c r="F248" s="21" t="str">
        <v>Kozhikode</v>
      </c>
      <c r="G248" s="21" t="s">
        <v>17</v>
      </c>
      <c r="H248" s="5" t="str" cm="1">
        <f t="array" ref="H248:I248">_xlfn.TEXTSPLIT(TRIM(G248),"-")</f>
        <v>P102</v>
      </c>
      <c r="I248" s="21" t="str">
        <v>Monitor</v>
      </c>
      <c r="J248" s="21" t="s">
        <v>71</v>
      </c>
      <c r="K248" s="4">
        <v>2</v>
      </c>
      <c r="L248" s="31">
        <v>15000</v>
      </c>
      <c r="M248" s="21" t="s">
        <v>23</v>
      </c>
      <c r="N248" s="30" t="s">
        <v>61</v>
      </c>
      <c r="O248" s="21" t="str">
        <f>VLOOKUP(H248,Product_Master!$A:$E,3,FALSE)</f>
        <v>Electronics</v>
      </c>
      <c r="P248" s="21" t="str">
        <f>VLOOKUP(H248,Product_Master!$A:$E,4,FALSE)</f>
        <v>LG</v>
      </c>
      <c r="Q248" s="5">
        <f>VLOOKUP(H248,Product_Master!$A:$E,5,FALSE)</f>
        <v>0.18</v>
      </c>
      <c r="R248" s="2">
        <f t="shared" si="12"/>
        <v>30000</v>
      </c>
      <c r="S248" s="2">
        <f t="shared" si="13"/>
        <v>5400</v>
      </c>
      <c r="T248" s="2">
        <f t="shared" si="14"/>
        <v>35400</v>
      </c>
    </row>
    <row r="249" spans="1:20" x14ac:dyDescent="0.2">
      <c r="A249" s="5" t="s">
        <v>531</v>
      </c>
      <c r="B249" s="3">
        <v>46214</v>
      </c>
      <c r="C249" s="21" t="s">
        <v>532</v>
      </c>
      <c r="D249" s="5" t="str" cm="1">
        <f t="array" ref="D249:F249">_xlfn.TEXTSPLIT(TRIM(C249),"-")</f>
        <v>C248</v>
      </c>
      <c r="E249" s="21" t="str">
        <v>Amal</v>
      </c>
      <c r="F249" s="21" t="str">
        <v>Thrissur</v>
      </c>
      <c r="G249" s="21" t="s">
        <v>17</v>
      </c>
      <c r="H249" s="5" t="str" cm="1">
        <f t="array" ref="H249:I249">_xlfn.TEXTSPLIT(TRIM(G249),"-")</f>
        <v>P102</v>
      </c>
      <c r="I249" s="21" t="str">
        <v>Monitor</v>
      </c>
      <c r="J249" s="21" t="s">
        <v>51</v>
      </c>
      <c r="K249" s="4">
        <v>3</v>
      </c>
      <c r="L249" s="31">
        <v>15000</v>
      </c>
      <c r="M249" s="21" t="s">
        <v>18</v>
      </c>
      <c r="N249" s="30" t="s">
        <v>34</v>
      </c>
      <c r="O249" s="21" t="str">
        <f>VLOOKUP(H249,Product_Master!$A:$E,3,FALSE)</f>
        <v>Electronics</v>
      </c>
      <c r="P249" s="21" t="str">
        <f>VLOOKUP(H249,Product_Master!$A:$E,4,FALSE)</f>
        <v>LG</v>
      </c>
      <c r="Q249" s="5">
        <f>VLOOKUP(H249,Product_Master!$A:$E,5,FALSE)</f>
        <v>0.18</v>
      </c>
      <c r="R249" s="2">
        <f t="shared" si="12"/>
        <v>45000</v>
      </c>
      <c r="S249" s="2">
        <f t="shared" si="13"/>
        <v>8100</v>
      </c>
      <c r="T249" s="2">
        <f t="shared" si="14"/>
        <v>53100</v>
      </c>
    </row>
    <row r="250" spans="1:20" x14ac:dyDescent="0.2">
      <c r="A250" s="5" t="s">
        <v>533</v>
      </c>
      <c r="B250" s="3">
        <v>46224</v>
      </c>
      <c r="C250" s="21" t="s">
        <v>534</v>
      </c>
      <c r="D250" s="5" t="str" cm="1">
        <f t="array" ref="D250:F250">_xlfn.TEXTSPLIT(TRIM(C250),"-")</f>
        <v>C249</v>
      </c>
      <c r="E250" s="21" t="str">
        <v>Lakshmi</v>
      </c>
      <c r="F250" s="21" t="str">
        <v>Malappuram</v>
      </c>
      <c r="G250" s="21" t="s">
        <v>45</v>
      </c>
      <c r="H250" s="5" t="str" cm="1">
        <f t="array" ref="H250:I250">_xlfn.TEXTSPLIT(TRIM(G250),"-")</f>
        <v>P103</v>
      </c>
      <c r="I250" s="21" t="str">
        <v>Keyboard</v>
      </c>
      <c r="J250" s="21" t="s">
        <v>113</v>
      </c>
      <c r="K250" s="4">
        <v>9</v>
      </c>
      <c r="L250" s="31">
        <v>1200</v>
      </c>
      <c r="M250" s="21" t="s">
        <v>13</v>
      </c>
      <c r="N250" s="30" t="s">
        <v>14</v>
      </c>
      <c r="O250" s="21" t="str">
        <f>VLOOKUP(H250,Product_Master!$A:$E,3,FALSE)</f>
        <v>Accessories</v>
      </c>
      <c r="P250" s="21" t="str">
        <f>VLOOKUP(H250,Product_Master!$A:$E,4,FALSE)</f>
        <v>Logitech</v>
      </c>
      <c r="Q250" s="5">
        <f>VLOOKUP(H250,Product_Master!$A:$E,5,FALSE)</f>
        <v>0.18</v>
      </c>
      <c r="R250" s="2">
        <f t="shared" si="12"/>
        <v>10800</v>
      </c>
      <c r="S250" s="2">
        <f t="shared" si="13"/>
        <v>1944</v>
      </c>
      <c r="T250" s="2">
        <f t="shared" si="14"/>
        <v>12744</v>
      </c>
    </row>
    <row r="251" spans="1:20" x14ac:dyDescent="0.2">
      <c r="A251" s="5" t="s">
        <v>535</v>
      </c>
      <c r="B251" s="3">
        <v>46208</v>
      </c>
      <c r="C251" s="21" t="s">
        <v>536</v>
      </c>
      <c r="D251" s="5" t="str" cm="1">
        <f t="array" ref="D251:F251">_xlfn.TEXTSPLIT(TRIM(C251),"-")</f>
        <v>C250</v>
      </c>
      <c r="E251" s="21" t="str">
        <v>Amal</v>
      </c>
      <c r="F251" s="21" t="str">
        <v>Kochi</v>
      </c>
      <c r="G251" s="21" t="s">
        <v>17</v>
      </c>
      <c r="H251" s="5" t="str" cm="1">
        <f t="array" ref="H251:I251">_xlfn.TEXTSPLIT(TRIM(G251),"-")</f>
        <v>P102</v>
      </c>
      <c r="I251" s="21" t="str">
        <v>Monitor</v>
      </c>
      <c r="J251" s="21" t="s">
        <v>64</v>
      </c>
      <c r="K251" s="4">
        <v>9</v>
      </c>
      <c r="L251" s="31">
        <v>15000</v>
      </c>
      <c r="M251" s="21" t="s">
        <v>13</v>
      </c>
      <c r="N251" s="30" t="s">
        <v>14</v>
      </c>
      <c r="O251" s="21" t="str">
        <f>VLOOKUP(H251,Product_Master!$A:$E,3,FALSE)</f>
        <v>Electronics</v>
      </c>
      <c r="P251" s="21" t="str">
        <f>VLOOKUP(H251,Product_Master!$A:$E,4,FALSE)</f>
        <v>LG</v>
      </c>
      <c r="Q251" s="5">
        <f>VLOOKUP(H251,Product_Master!$A:$E,5,FALSE)</f>
        <v>0.18</v>
      </c>
      <c r="R251" s="2">
        <f t="shared" si="12"/>
        <v>135000</v>
      </c>
      <c r="S251" s="2">
        <f t="shared" si="13"/>
        <v>24300</v>
      </c>
      <c r="T251" s="2">
        <f t="shared" si="14"/>
        <v>159300</v>
      </c>
    </row>
  </sheetData>
  <autoFilter ref="A1:T1" xr:uid="{00000000-0001-0000-0000-000000000000}"/>
  <sortState xmlns:xlrd2="http://schemas.microsoft.com/office/spreadsheetml/2017/richdata2" ref="V66:W73">
    <sortCondition descending="1" ref="W66:W73"/>
  </sortState>
  <pageMargins left="0.75" right="0.75" top="1" bottom="1" header="0.5" footer="0.5"/>
  <ignoredErrors>
    <ignoredError sqref="B17 B37 B39:B40 B42 B4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7C3A-F92A-4949-95B9-166A7213682E}">
  <dimension ref="A1:B23"/>
  <sheetViews>
    <sheetView workbookViewId="0">
      <selection activeCell="E12" sqref="E12"/>
    </sheetView>
  </sheetViews>
  <sheetFormatPr baseColWidth="10" defaultRowHeight="19" x14ac:dyDescent="0.25"/>
  <cols>
    <col min="1" max="1" width="33.6640625" style="20" customWidth="1"/>
    <col min="2" max="2" width="25.1640625" style="22" customWidth="1"/>
  </cols>
  <sheetData>
    <row r="1" spans="1:2" x14ac:dyDescent="0.25">
      <c r="A1" s="29" t="s">
        <v>643</v>
      </c>
      <c r="B1" s="28" t="s">
        <v>607</v>
      </c>
    </row>
    <row r="3" spans="1:2" x14ac:dyDescent="0.25">
      <c r="A3" s="24" t="s">
        <v>644</v>
      </c>
      <c r="B3" s="25">
        <v>250</v>
      </c>
    </row>
    <row r="5" spans="1:2" x14ac:dyDescent="0.25">
      <c r="A5" s="24" t="s">
        <v>575</v>
      </c>
      <c r="B5" s="25">
        <v>1632</v>
      </c>
    </row>
    <row r="6" spans="1:2" x14ac:dyDescent="0.25">
      <c r="B6" s="23"/>
    </row>
    <row r="7" spans="1:2" x14ac:dyDescent="0.25">
      <c r="A7" s="24" t="s">
        <v>576</v>
      </c>
      <c r="B7" s="26">
        <v>20100550</v>
      </c>
    </row>
    <row r="9" spans="1:2" x14ac:dyDescent="0.25">
      <c r="A9" s="24" t="s">
        <v>577</v>
      </c>
      <c r="B9" s="26">
        <v>94874.596000000005</v>
      </c>
    </row>
    <row r="11" spans="1:2" x14ac:dyDescent="0.25">
      <c r="A11" s="24" t="s">
        <v>645</v>
      </c>
      <c r="B11" s="26">
        <v>885</v>
      </c>
    </row>
    <row r="13" spans="1:2" x14ac:dyDescent="0.25">
      <c r="A13" s="24" t="s">
        <v>642</v>
      </c>
      <c r="B13" s="26">
        <v>778800</v>
      </c>
    </row>
    <row r="15" spans="1:2" x14ac:dyDescent="0.25">
      <c r="A15" s="24" t="s">
        <v>637</v>
      </c>
      <c r="B15" s="27" t="s">
        <v>598</v>
      </c>
    </row>
    <row r="17" spans="1:2" x14ac:dyDescent="0.25">
      <c r="A17" s="24" t="s">
        <v>638</v>
      </c>
      <c r="B17" s="27" t="s">
        <v>590</v>
      </c>
    </row>
    <row r="19" spans="1:2" x14ac:dyDescent="0.25">
      <c r="A19" s="24" t="s">
        <v>639</v>
      </c>
      <c r="B19" s="27" t="s">
        <v>634</v>
      </c>
    </row>
    <row r="21" spans="1:2" x14ac:dyDescent="0.25">
      <c r="A21" s="24" t="s">
        <v>640</v>
      </c>
      <c r="B21" s="27" t="s">
        <v>603</v>
      </c>
    </row>
    <row r="23" spans="1:2" x14ac:dyDescent="0.25">
      <c r="A23" s="24" t="s">
        <v>641</v>
      </c>
      <c r="B23" s="27" t="s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C35" sqref="C35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3" customWidth="1"/>
    <col min="4" max="5" width="12" customWidth="1"/>
  </cols>
  <sheetData>
    <row r="1" spans="1:5" x14ac:dyDescent="0.2">
      <c r="A1" s="1" t="s">
        <v>537</v>
      </c>
      <c r="B1" s="1" t="s">
        <v>538</v>
      </c>
      <c r="C1" s="1" t="s">
        <v>539</v>
      </c>
      <c r="D1" s="1" t="s">
        <v>540</v>
      </c>
      <c r="E1" s="1" t="s">
        <v>541</v>
      </c>
    </row>
    <row r="2" spans="1:5" x14ac:dyDescent="0.2">
      <c r="A2" t="s">
        <v>542</v>
      </c>
      <c r="B2" t="s">
        <v>543</v>
      </c>
      <c r="C2" t="s">
        <v>544</v>
      </c>
      <c r="D2" t="s">
        <v>545</v>
      </c>
      <c r="E2">
        <v>0.18</v>
      </c>
    </row>
    <row r="3" spans="1:5" x14ac:dyDescent="0.2">
      <c r="A3" t="s">
        <v>546</v>
      </c>
      <c r="B3" t="s">
        <v>547</v>
      </c>
      <c r="C3" t="s">
        <v>544</v>
      </c>
      <c r="D3" t="s">
        <v>548</v>
      </c>
      <c r="E3">
        <v>0.18</v>
      </c>
    </row>
    <row r="4" spans="1:5" x14ac:dyDescent="0.2">
      <c r="A4" t="s">
        <v>549</v>
      </c>
      <c r="B4" t="s">
        <v>550</v>
      </c>
      <c r="C4" t="s">
        <v>551</v>
      </c>
      <c r="D4" t="s">
        <v>552</v>
      </c>
      <c r="E4">
        <v>0.18</v>
      </c>
    </row>
    <row r="5" spans="1:5" x14ac:dyDescent="0.2">
      <c r="A5" t="s">
        <v>553</v>
      </c>
      <c r="B5" t="s">
        <v>554</v>
      </c>
      <c r="C5" t="s">
        <v>551</v>
      </c>
      <c r="D5" t="s">
        <v>555</v>
      </c>
      <c r="E5">
        <v>0.18</v>
      </c>
    </row>
    <row r="6" spans="1:5" x14ac:dyDescent="0.2">
      <c r="A6" t="s">
        <v>556</v>
      </c>
      <c r="B6" t="s">
        <v>557</v>
      </c>
      <c r="C6" t="s">
        <v>551</v>
      </c>
      <c r="D6" t="s">
        <v>558</v>
      </c>
      <c r="E6">
        <v>0.18</v>
      </c>
    </row>
    <row r="7" spans="1:5" x14ac:dyDescent="0.2">
      <c r="A7" t="s">
        <v>559</v>
      </c>
      <c r="B7" t="s">
        <v>560</v>
      </c>
      <c r="C7" t="s">
        <v>544</v>
      </c>
      <c r="D7" t="s">
        <v>561</v>
      </c>
      <c r="E7">
        <v>0.18</v>
      </c>
    </row>
    <row r="8" spans="1:5" x14ac:dyDescent="0.2">
      <c r="A8" t="s">
        <v>562</v>
      </c>
      <c r="B8" t="s">
        <v>563</v>
      </c>
      <c r="C8" t="s">
        <v>544</v>
      </c>
      <c r="D8" t="s">
        <v>552</v>
      </c>
      <c r="E8">
        <v>0.18</v>
      </c>
    </row>
    <row r="9" spans="1:5" x14ac:dyDescent="0.2">
      <c r="A9" t="s">
        <v>564</v>
      </c>
      <c r="B9" t="s">
        <v>565</v>
      </c>
      <c r="C9" t="s">
        <v>566</v>
      </c>
      <c r="D9" t="s">
        <v>567</v>
      </c>
      <c r="E9">
        <v>0.18</v>
      </c>
    </row>
  </sheetData>
  <autoFilter ref="A1:E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Raw_Sales_Data</vt:lpstr>
      <vt:lpstr>SUMMARY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Aji</cp:lastModifiedBy>
  <dcterms:created xsi:type="dcterms:W3CDTF">2026-08-11T05:36:35Z</dcterms:created>
  <dcterms:modified xsi:type="dcterms:W3CDTF">2026-10-08T07:53:23Z</dcterms:modified>
</cp:coreProperties>
</file>